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比赛赛程" sheetId="2" state="visible" r:id="rId4"/>
    <sheet name="参与者填写" sheetId="3" state="visible" r:id="rId5"/>
    <sheet name="积分统计" sheetId="4" state="visible" r:id="rId6"/>
    <sheet name="排名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<sst xmlns="http://schemas.openxmlformats.org/spreadsheetml/2006/main" count="111" uniqueCount="79">
  <si>
    <r>
      <rPr>
        <b val="true"/>
        <sz val="16"/>
        <color rgb="FF366092"/>
        <rFont val="Cambria"/>
        <family val="0"/>
        <charset val="1"/>
      </rPr>
      <t xml:space="preserve">2026</t>
    </r>
    <r>
      <rPr>
        <b val="true"/>
        <sz val="16"/>
        <color rgb="FF366092"/>
        <rFont val="Noto Sans CJK SC"/>
        <family val="2"/>
      </rPr>
      <t xml:space="preserve">年足球世界杯竞猜活动 </t>
    </r>
    <r>
      <rPr>
        <b val="true"/>
        <sz val="16"/>
        <color rgb="FF366092"/>
        <rFont val="Cambria"/>
        <family val="0"/>
        <charset val="1"/>
      </rPr>
      <t xml:space="preserve">- </t>
    </r>
    <r>
      <rPr>
        <b val="true"/>
        <sz val="16"/>
        <color rgb="FF366092"/>
        <rFont val="Noto Sans CJK SC"/>
        <family val="2"/>
      </rPr>
      <t xml:space="preserve">使用说明</t>
    </r>
  </si>
  <si>
    <t xml:space="preserve">📋 工作表说明</t>
  </si>
  <si>
    <r>
      <rPr>
        <sz val="10"/>
        <rFont val="Cambria"/>
        <family val="0"/>
        <charset val="1"/>
      </rPr>
      <t xml:space="preserve">1. </t>
    </r>
    <r>
      <rPr>
        <sz val="10"/>
        <rFont val="Noto Sans CJK SC"/>
        <family val="2"/>
      </rPr>
      <t xml:space="preserve">【比赛赛程】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包含所有比赛信息，管理员填写实际比赛结果</t>
    </r>
  </si>
  <si>
    <r>
      <rPr>
        <sz val="10"/>
        <rFont val="Cambria"/>
        <family val="0"/>
        <charset val="1"/>
      </rPr>
      <t xml:space="preserve">2. </t>
    </r>
    <r>
      <rPr>
        <sz val="10"/>
        <rFont val="Noto Sans CJK SC"/>
        <family val="2"/>
      </rPr>
      <t xml:space="preserve">【参与者填写】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参与者在此填写每场比赛的预测</t>
    </r>
  </si>
  <si>
    <r>
      <rPr>
        <sz val="10"/>
        <rFont val="Cambria"/>
        <family val="0"/>
        <charset val="1"/>
      </rPr>
      <t xml:space="preserve">3. </t>
    </r>
    <r>
      <rPr>
        <sz val="10"/>
        <rFont val="Noto Sans CJK SC"/>
        <family val="2"/>
      </rPr>
      <t xml:space="preserve">【积分统计】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自动计算每位参与者的积分</t>
    </r>
  </si>
  <si>
    <r>
      <rPr>
        <sz val="10"/>
        <rFont val="Cambria"/>
        <family val="0"/>
        <charset val="1"/>
      </rPr>
      <t xml:space="preserve">4. </t>
    </r>
    <r>
      <rPr>
        <sz val="10"/>
        <rFont val="Noto Sans CJK SC"/>
        <family val="2"/>
      </rPr>
      <t xml:space="preserve">【排名】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自动生成参与者积分排名</t>
    </r>
  </si>
  <si>
    <t xml:space="preserve">🎯 积分规则</t>
  </si>
  <si>
    <r>
      <rPr>
        <sz val="10"/>
        <rFont val="Noto Sans CJK SC"/>
        <family val="2"/>
      </rPr>
      <t xml:space="preserve">• 预测胜负平正确：得 </t>
    </r>
    <r>
      <rPr>
        <sz val="10"/>
        <rFont val="Cambria"/>
        <family val="0"/>
        <charset val="1"/>
      </rPr>
      <t xml:space="preserve">3 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</si>
  <si>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• 预测准确比分：得 </t>
    </r>
    <r>
      <rPr>
        <sz val="10"/>
        <rFont val="Cambria"/>
        <family val="0"/>
        <charset val="1"/>
      </rPr>
      <t xml:space="preserve">5 </t>
    </r>
    <r>
      <rPr>
        <sz val="10"/>
        <rFont val="Noto Sans CJK SC"/>
        <family val="2"/>
      </rPr>
      <t xml:space="preserve">分（包含胜负平和比分的双重奖励）</t>
    </r>
  </si>
  <si>
    <r>
      <rPr>
        <sz val="10"/>
        <rFont val="Noto Sans CJK SC"/>
        <family val="2"/>
      </rPr>
      <t xml:space="preserve">• 预测胜负平错误：得 </t>
    </r>
    <r>
      <rPr>
        <sz val="10"/>
        <rFont val="Cambria"/>
        <family val="0"/>
        <charset val="1"/>
      </rPr>
      <t xml:space="preserve">0 </t>
    </r>
    <r>
      <rPr>
        <sz val="10"/>
        <rFont val="Noto Sans CJK SC"/>
        <family val="2"/>
      </rPr>
      <t xml:space="preserve">分</t>
    </r>
  </si>
  <si>
    <t xml:space="preserve">📝 使用步骤</t>
  </si>
  <si>
    <r>
      <rPr>
        <sz val="10"/>
        <rFont val="Cambria"/>
        <family val="0"/>
        <charset val="1"/>
      </rPr>
      <t xml:space="preserve">1. </t>
    </r>
    <r>
      <rPr>
        <sz val="10"/>
        <rFont val="Noto Sans CJK SC"/>
        <family val="2"/>
      </rPr>
      <t xml:space="preserve">在【比赛赛程】表中填写所有比赛信息</t>
    </r>
  </si>
  <si>
    <r>
      <rPr>
        <sz val="10"/>
        <rFont val="Cambria"/>
        <family val="0"/>
        <charset val="1"/>
      </rPr>
      <t xml:space="preserve">2. </t>
    </r>
    <r>
      <rPr>
        <sz val="10"/>
        <rFont val="Noto Sans CJK SC"/>
        <family val="2"/>
      </rPr>
      <t xml:space="preserve">将</t>
    </r>
    <r>
      <rPr>
        <sz val="10"/>
        <rFont val="Cambria"/>
        <family val="0"/>
        <charset val="1"/>
      </rPr>
      <t xml:space="preserve">Excel</t>
    </r>
    <r>
      <rPr>
        <sz val="10"/>
        <rFont val="Noto Sans CJK SC"/>
        <family val="2"/>
      </rPr>
      <t xml:space="preserve">文件分享到微信群</t>
    </r>
  </si>
  <si>
    <r>
      <rPr>
        <sz val="10"/>
        <rFont val="Cambria"/>
        <family val="0"/>
        <charset val="1"/>
      </rPr>
      <t xml:space="preserve">3. </t>
    </r>
    <r>
      <rPr>
        <sz val="10"/>
        <rFont val="Noto Sans CJK SC"/>
        <family val="2"/>
      </rPr>
      <t xml:space="preserve">每位参与者在【参与者填写】表中填写自己的预测</t>
    </r>
  </si>
  <si>
    <r>
      <rPr>
        <sz val="10"/>
        <rFont val="Cambria"/>
        <family val="0"/>
        <charset val="1"/>
      </rPr>
      <t xml:space="preserve">4. </t>
    </r>
    <r>
      <rPr>
        <sz val="10"/>
        <rFont val="Noto Sans CJK SC"/>
        <family val="2"/>
      </rPr>
      <t xml:space="preserve">比赛结束后，在【比赛赛程】表中填写实际结果</t>
    </r>
  </si>
  <si>
    <r>
      <rPr>
        <sz val="10"/>
        <rFont val="Cambria"/>
        <family val="0"/>
        <charset val="1"/>
      </rPr>
      <t xml:space="preserve">5. </t>
    </r>
    <r>
      <rPr>
        <sz val="10"/>
        <rFont val="Noto Sans CJK SC"/>
        <family val="2"/>
      </rPr>
      <t xml:space="preserve">【积分统计】和【排名】表会自动更新</t>
    </r>
  </si>
  <si>
    <t xml:space="preserve">⚠️ 注意事项</t>
  </si>
  <si>
    <t xml:space="preserve">• 每位参与者使用不同的行填写预测</t>
  </si>
  <si>
    <t xml:space="preserve">• 预测必须在比赛开始前填写</t>
  </si>
  <si>
    <t xml:space="preserve">• 实际结果由管理员统一填写</t>
  </si>
  <si>
    <r>
      <rPr>
        <sz val="10"/>
        <rFont val="Noto Sans CJK SC"/>
        <family val="2"/>
      </rPr>
      <t xml:space="preserve">• 文件可同时供多人编辑（需使用在线</t>
    </r>
    <r>
      <rPr>
        <sz val="10"/>
        <rFont val="Cambria"/>
        <family val="0"/>
        <charset val="1"/>
      </rPr>
      <t xml:space="preserve">Excel</t>
    </r>
    <r>
      <rPr>
        <sz val="10"/>
        <rFont val="Noto Sans CJK SC"/>
        <family val="2"/>
      </rPr>
      <t xml:space="preserve">）</t>
    </r>
  </si>
  <si>
    <t xml:space="preserve">比赛编号</t>
  </si>
  <si>
    <t xml:space="preserve">比赛阶段</t>
  </si>
  <si>
    <t xml:space="preserve">比赛日期</t>
  </si>
  <si>
    <t xml:space="preserve">比赛时间</t>
  </si>
  <si>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</si>
  <si>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</si>
  <si>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实际结果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</si>
  <si>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实际结果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</si>
  <si>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t xml:space="preserve">实际胜负平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</si>
  <si>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</si>
  <si>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2026-06-11</t>
  </si>
  <si>
    <t xml:space="preserve">20:00</t>
  </si>
  <si>
    <t xml:space="preserve">墨西哥</t>
  </si>
  <si>
    <t xml:space="preserve">波兰</t>
  </si>
  <si>
    <t xml:space="preserve">23:00</t>
  </si>
  <si>
    <t xml:space="preserve">阿根廷</t>
  </si>
  <si>
    <t xml:space="preserve">沙特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</si>
  <si>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</si>
  <si>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2026-06-12</t>
  </si>
  <si>
    <t xml:space="preserve">美国</t>
  </si>
  <si>
    <t xml:space="preserve">威尔士</t>
  </si>
  <si>
    <t xml:space="preserve">英格兰</t>
  </si>
  <si>
    <t xml:space="preserve">伊朗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</si>
  <si>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</si>
  <si>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2026-06-13</t>
  </si>
  <si>
    <t xml:space="preserve">参与者姓名</t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</si>
  <si>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</si>
  <si>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</si>
  <si>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</si>
  <si>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</si>
  <si>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</si>
  <si>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</si>
  <si>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</si>
  <si>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</si>
  <si>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</si>
  <si>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</si>
  <si>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</si>
  <si>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</si>
  <si>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</si>
  <si>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</si>
  <si>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</si>
  <si>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</si>
  <si>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</si>
  <si>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预测</t>
    </r>
    <r>
      <rPr>
        <b val="true"/>
        <sz val="11"/>
        <color rgb="FFFFFFFF"/>
        <rFont val="Cambria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胜负平</t>
    </r>
  </si>
  <si>
    <t xml:space="preserve">张三</t>
  </si>
  <si>
    <t xml:space="preserve">胜</t>
  </si>
  <si>
    <t xml:space="preserve">李四</t>
  </si>
  <si>
    <t xml:space="preserve">平</t>
  </si>
  <si>
    <t xml:space="preserve">负</t>
  </si>
  <si>
    <t xml:space="preserve">王五</t>
  </si>
  <si>
    <t xml:space="preserve">总积分</t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</si>
  <si>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</si>
  <si>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</si>
  <si>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</si>
  <si>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</si>
  <si>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</si>
  <si>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积分</t>
    </r>
  </si>
  <si>
    <t xml:space="preserve">排名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</si>
</sst>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b val="true"/>
      <sz val="16"/>
      <color rgb="FF366092"/>
      <name val="Noto Sans CJK SC"/>
      <family val="2"/>
    </font>
    <font>
      <b val="true"/>
      <sz val="12"/>
      <color rgb="FF366092"/>
      <name val="Noto Sans CJK SC"/>
      <family val="2"/>
    </font>
    <font>
      <sz val="10"/>
      <name val="Cambria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30" hidden="false" customHeight="true" outlineLevel="0" collapsed="false">
      <c r="A1" s="1" t="s">
        <v>0</v>
      </c>
    </row>
    <row r="2" customFormat="false" ht="9.75" hidden="false" customHeight="true" outlineLevel="0" collapsed="false"/>
    <row r="3" customFormat="false" ht="24.75" hidden="false" customHeight="true" outlineLevel="0" collapsed="false">
      <c r="A3" s="2" t="s">
        <v>1</v>
      </c>
    </row>
    <row r="4" customFormat="false" ht="19.5" hidden="false" customHeight="true" outlineLevel="0" collapsed="false">
      <c r="A4" s="3" t="s">
        <v>2</v>
      </c>
    </row>
    <row r="5" customFormat="false" ht="19.5" hidden="false" customHeight="true" outlineLevel="0" collapsed="false">
      <c r="A5" s="3" t="s">
        <v>3</v>
      </c>
    </row>
    <row r="6" customFormat="false" ht="19.5" hidden="false" customHeight="true" outlineLevel="0" collapsed="false">
      <c r="A6" s="3" t="s">
        <v>4</v>
      </c>
    </row>
    <row r="7" customFormat="false" ht="19.5" hidden="false" customHeight="true" outlineLevel="0" collapsed="false">
      <c r="A7" s="3" t="s">
        <v>5</v>
      </c>
    </row>
    <row r="8" customFormat="false" ht="9.75" hidden="false" customHeight="true" outlineLevel="0" collapsed="false"/>
    <row r="9" customFormat="false" ht="24.75" hidden="false" customHeight="true" outlineLevel="0" collapsed="false">
      <c r="A9" s="2" t="s">
        <v>6</v>
      </c>
    </row>
    <row r="10" customFormat="false" ht="19.5" hidden="false" customHeight="true" outlineLevel="0" collapsed="false">
      <c r="A10" s="4" t="s">
        <v>7</v>
      </c>
    </row>
    <row r="11" customFormat="false" ht="19.5" hidden="false" customHeight="true" outlineLevel="0" collapsed="false">
      <c r="A11" s="4" t="s">
        <v>8</v>
      </c>
    </row>
    <row r="12" customFormat="false" ht="19.5" hidden="false" customHeight="true" outlineLevel="0" collapsed="false">
      <c r="A12" s="4" t="s">
        <v>9</v>
      </c>
    </row>
    <row r="13" customFormat="false" ht="9.75" hidden="false" customHeight="true" outlineLevel="0" collapsed="false"/>
    <row r="14" customFormat="false" ht="24.75" hidden="false" customHeight="true" outlineLevel="0" collapsed="false">
      <c r="A14" s="2" t="s">
        <v>10</v>
      </c>
    </row>
    <row r="15" customFormat="false" ht="19.5" hidden="false" customHeight="true" outlineLevel="0" collapsed="false">
      <c r="A15" s="3" t="s">
        <v>11</v>
      </c>
    </row>
    <row r="16" customFormat="false" ht="19.5" hidden="false" customHeight="true" outlineLevel="0" collapsed="false">
      <c r="A16" s="3" t="s">
        <v>12</v>
      </c>
    </row>
    <row r="17" customFormat="false" ht="19.5" hidden="false" customHeight="true" outlineLevel="0" collapsed="false">
      <c r="A17" s="3" t="s">
        <v>13</v>
      </c>
    </row>
    <row r="18" customFormat="false" ht="19.5" hidden="false" customHeight="true" outlineLevel="0" collapsed="false">
      <c r="A18" s="3" t="s">
        <v>14</v>
      </c>
    </row>
    <row r="19" customFormat="false" ht="19.5" hidden="false" customHeight="true" outlineLevel="0" collapsed="false">
      <c r="A19" s="3" t="s">
        <v>15</v>
      </c>
    </row>
    <row r="20" customFormat="false" ht="9.75" hidden="false" customHeight="true" outlineLevel="0" collapsed="false"/>
    <row r="21" customFormat="false" ht="24.75" hidden="false" customHeight="true" outlineLevel="0" collapsed="false">
      <c r="A21" s="2" t="s">
        <v>16</v>
      </c>
    </row>
    <row r="22" customFormat="false" ht="19.5" hidden="false" customHeight="true" outlineLevel="0" collapsed="false">
      <c r="A22" s="4" t="s">
        <v>17</v>
      </c>
    </row>
    <row r="23" customFormat="false" ht="19.5" hidden="false" customHeight="true" outlineLevel="0" collapsed="false">
      <c r="A23" s="4" t="s">
        <v>18</v>
      </c>
    </row>
    <row r="24" customFormat="false" ht="19.5" hidden="false" customHeight="true" outlineLevel="0" collapsed="false">
      <c r="A24" s="4" t="s">
        <v>19</v>
      </c>
    </row>
    <row r="25" customFormat="false" ht="19.5" hidden="false" customHeight="true" outlineLevel="0" collapsed="false">
      <c r="A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8" min="7" style="0" width="1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customFormat="false" ht="19.5" hidden="false" customHeight="true" outlineLevel="0" collapsed="false">
      <c r="A2" s="6" t="n">
        <v>1</v>
      </c>
      <c r="B2" s="7" t="s">
        <v>30</v>
      </c>
      <c r="C2" s="6" t="s">
        <v>31</v>
      </c>
      <c r="D2" s="6" t="s">
        <v>32</v>
      </c>
      <c r="E2" s="7" t="s">
        <v>33</v>
      </c>
      <c r="F2" s="7" t="s">
        <v>34</v>
      </c>
      <c r="G2" s="6"/>
      <c r="H2" s="6"/>
      <c r="I2" s="6"/>
    </row>
    <row r="3" customFormat="false" ht="19.5" hidden="false" customHeight="true" outlineLevel="0" collapsed="false">
      <c r="A3" s="6" t="n">
        <v>2</v>
      </c>
      <c r="B3" s="7" t="s">
        <v>30</v>
      </c>
      <c r="C3" s="6" t="s">
        <v>31</v>
      </c>
      <c r="D3" s="6" t="s">
        <v>35</v>
      </c>
      <c r="E3" s="7" t="s">
        <v>36</v>
      </c>
      <c r="F3" s="7" t="s">
        <v>37</v>
      </c>
      <c r="G3" s="6"/>
      <c r="H3" s="6"/>
      <c r="I3" s="6"/>
    </row>
    <row r="4" customFormat="false" ht="19.5" hidden="false" customHeight="true" outlineLevel="0" collapsed="false">
      <c r="A4" s="6" t="n">
        <v>3</v>
      </c>
      <c r="B4" s="7" t="s">
        <v>38</v>
      </c>
      <c r="C4" s="6" t="s">
        <v>39</v>
      </c>
      <c r="D4" s="6" t="s">
        <v>32</v>
      </c>
      <c r="E4" s="7" t="s">
        <v>40</v>
      </c>
      <c r="F4" s="7" t="s">
        <v>41</v>
      </c>
      <c r="G4" s="6"/>
      <c r="H4" s="6"/>
      <c r="I4" s="6"/>
    </row>
    <row r="5" customFormat="false" ht="19.5" hidden="false" customHeight="true" outlineLevel="0" collapsed="false">
      <c r="A5" s="6" t="n">
        <v>4</v>
      </c>
      <c r="B5" s="7" t="s">
        <v>38</v>
      </c>
      <c r="C5" s="6" t="s">
        <v>39</v>
      </c>
      <c r="D5" s="6" t="s">
        <v>35</v>
      </c>
      <c r="E5" s="7" t="s">
        <v>42</v>
      </c>
      <c r="F5" s="7" t="s">
        <v>43</v>
      </c>
      <c r="G5" s="6"/>
      <c r="H5" s="6"/>
      <c r="I5" s="6"/>
    </row>
    <row r="6" customFormat="false" ht="19.5" hidden="false" customHeight="true" outlineLevel="0" collapsed="false">
      <c r="A6" s="6" t="n">
        <v>5</v>
      </c>
      <c r="B6" s="7" t="s">
        <v>44</v>
      </c>
      <c r="C6" s="6" t="s">
        <v>45</v>
      </c>
      <c r="D6" s="6" t="s">
        <v>32</v>
      </c>
      <c r="E6" s="7" t="s">
        <v>36</v>
      </c>
      <c r="F6" s="7" t="s">
        <v>33</v>
      </c>
      <c r="G6" s="6"/>
      <c r="H6" s="6"/>
      <c r="I6" s="6"/>
    </row>
    <row r="7" customFormat="false" ht="19.5" hidden="false" customHeight="true" outlineLevel="0" collapsed="false">
      <c r="A7" s="6" t="n">
        <v>6</v>
      </c>
      <c r="B7" s="7" t="s">
        <v>44</v>
      </c>
      <c r="C7" s="6" t="s">
        <v>45</v>
      </c>
      <c r="D7" s="6" t="s">
        <v>35</v>
      </c>
      <c r="E7" s="7" t="s">
        <v>34</v>
      </c>
      <c r="F7" s="7" t="s">
        <v>37</v>
      </c>
      <c r="G7" s="6"/>
      <c r="H7" s="6"/>
      <c r="I7" s="6"/>
    </row>
  </sheetData>
  <dataValidations count="1">
    <dataValidation allowBlank="true" errorStyle="stop" operator="between" showDropDown="false" showErrorMessage="false" showInputMessage="false" sqref="I2:I105" type="list">
      <formula1>"胜,平,负"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9" min="2" style="0" width="12"/>
  </cols>
  <sheetData>
    <row r="1" customFormat="false" ht="30" hidden="false" customHeight="tru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</row>
    <row r="2" customFormat="false" ht="19.5" hidden="false" customHeight="true" outlineLevel="0" collapsed="false">
      <c r="A2" s="7" t="s">
        <v>65</v>
      </c>
      <c r="B2" s="6" t="n">
        <v>2</v>
      </c>
      <c r="C2" s="6" t="n">
        <v>1</v>
      </c>
      <c r="D2" s="7" t="s">
        <v>66</v>
      </c>
      <c r="E2" s="6" t="n">
        <v>1</v>
      </c>
      <c r="F2" s="6" t="n">
        <v>0</v>
      </c>
      <c r="G2" s="7" t="s">
        <v>66</v>
      </c>
      <c r="H2" s="6" t="n">
        <v>2</v>
      </c>
      <c r="I2" s="6" t="n">
        <v>1</v>
      </c>
      <c r="J2" s="7" t="s">
        <v>66</v>
      </c>
      <c r="K2" s="6" t="n">
        <v>3</v>
      </c>
      <c r="L2" s="6" t="n">
        <v>1</v>
      </c>
      <c r="M2" s="7" t="s">
        <v>66</v>
      </c>
      <c r="N2" s="6" t="n">
        <v>2</v>
      </c>
      <c r="O2" s="6" t="n">
        <v>0</v>
      </c>
      <c r="P2" s="7" t="s">
        <v>66</v>
      </c>
      <c r="Q2" s="6" t="n">
        <v>1</v>
      </c>
      <c r="R2" s="6" t="n">
        <v>0</v>
      </c>
      <c r="S2" s="7" t="s">
        <v>66</v>
      </c>
    </row>
    <row r="3" customFormat="false" ht="19.5" hidden="false" customHeight="true" outlineLevel="0" collapsed="false">
      <c r="A3" s="7" t="s">
        <v>67</v>
      </c>
      <c r="B3" s="6" t="n">
        <v>1</v>
      </c>
      <c r="C3" s="6" t="n">
        <v>1</v>
      </c>
      <c r="D3" s="7" t="s">
        <v>68</v>
      </c>
      <c r="E3" s="6" t="n">
        <v>2</v>
      </c>
      <c r="F3" s="6" t="n">
        <v>1</v>
      </c>
      <c r="G3" s="7" t="s">
        <v>66</v>
      </c>
      <c r="H3" s="6" t="n">
        <v>1</v>
      </c>
      <c r="I3" s="6" t="n">
        <v>2</v>
      </c>
      <c r="J3" s="7" t="s">
        <v>69</v>
      </c>
      <c r="K3" s="6" t="n">
        <v>2</v>
      </c>
      <c r="L3" s="6" t="n">
        <v>2</v>
      </c>
      <c r="M3" s="7" t="s">
        <v>68</v>
      </c>
      <c r="N3" s="6" t="n">
        <v>1</v>
      </c>
      <c r="O3" s="6" t="n">
        <v>1</v>
      </c>
      <c r="P3" s="7" t="s">
        <v>68</v>
      </c>
      <c r="Q3" s="6" t="n">
        <v>2</v>
      </c>
      <c r="R3" s="6" t="n">
        <v>1</v>
      </c>
      <c r="S3" s="7" t="s">
        <v>66</v>
      </c>
    </row>
    <row r="4" customFormat="false" ht="19.5" hidden="false" customHeight="true" outlineLevel="0" collapsed="false">
      <c r="A4" s="7" t="s">
        <v>70</v>
      </c>
      <c r="B4" s="6" t="n">
        <v>0</v>
      </c>
      <c r="C4" s="6" t="n">
        <v>2</v>
      </c>
      <c r="D4" s="7" t="s">
        <v>69</v>
      </c>
      <c r="E4" s="6" t="n">
        <v>1</v>
      </c>
      <c r="F4" s="6" t="n">
        <v>2</v>
      </c>
      <c r="G4" s="7" t="s">
        <v>69</v>
      </c>
      <c r="H4" s="6" t="n">
        <v>3</v>
      </c>
      <c r="I4" s="6" t="n">
        <v>0</v>
      </c>
      <c r="J4" s="7" t="s">
        <v>66</v>
      </c>
      <c r="K4" s="6" t="n">
        <v>1</v>
      </c>
      <c r="L4" s="6" t="n">
        <v>3</v>
      </c>
      <c r="M4" s="7" t="s">
        <v>69</v>
      </c>
      <c r="N4" s="6" t="n">
        <v>0</v>
      </c>
      <c r="O4" s="6" t="n">
        <v>2</v>
      </c>
      <c r="P4" s="7" t="s">
        <v>69</v>
      </c>
      <c r="Q4" s="6" t="n">
        <v>1</v>
      </c>
      <c r="R4" s="6" t="n">
        <v>1</v>
      </c>
      <c r="S4" s="7" t="s">
        <v>68</v>
      </c>
    </row>
  </sheetData>
  <dataValidations count="1">
    <dataValidation allowBlank="true" errorStyle="stop" operator="between" showDropDown="false" showErrorMessage="false" showInputMessage="false" sqref="D2:D100 G2:G100 J2:J100 M2:M100 P2:P100 S2:S100" type="list">
      <formula1>"胜,平,负"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8" min="2" style="0" width="12"/>
  </cols>
  <sheetData>
    <row r="1" customFormat="false" ht="30" hidden="false" customHeight="true" outlineLevel="0" collapsed="false">
      <c r="A1" s="5" t="s">
        <v>46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</row>
    <row r="2" customFormat="false" ht="19.5" hidden="false" customHeight="true" outlineLevel="0" collapsed="false">
      <c r="A2" s="8"/>
      <c r="B2" s="6" t="n">
        <f aca="false">SUM(C2:H2)</f>
        <v>0</v>
      </c>
      <c r="C2" s="6" t="n">
        <f aca="false">IF(参与者填写!D2="","",IF(参与者填写!D2=比赛赛程!I2,3,0)+IF(AND(参与者填写!B2=比赛赛程!G2,参与者填写!C2=比赛赛程!H2),2,0))</f>
        <v>0</v>
      </c>
      <c r="D2" s="6" t="n">
        <f aca="false">IF(参与者填写!G2="","",IF(参与者填写!G2=比赛赛程!I3,3,0)+IF(AND(参与者填写!E2=比赛赛程!G3,参与者填写!F2=比赛赛程!H3),2,0))</f>
        <v>0</v>
      </c>
      <c r="E2" s="6" t="n">
        <f aca="false">IF(参与者填写!J2="","",IF(参与者填写!J2=比赛赛程!I4,3,0)+IF(AND(参与者填写!H2=比赛赛程!G4,参与者填写!I2=比赛赛程!H4),2,0))</f>
        <v>0</v>
      </c>
      <c r="F2" s="6" t="n">
        <f aca="false">IF(参与者填写!M2="","",IF(参与者填写!M2=比赛赛程!I5,3,0)+IF(AND(参与者填写!K2=比赛赛程!G5,参与者填写!L2=比赛赛程!H5),2,0))</f>
        <v>0</v>
      </c>
      <c r="G2" s="6" t="n">
        <f aca="false">IF(参与者填写!P2="","",IF(参与者填写!P2=比赛赛程!I6,3,0)+IF(AND(参与者填写!N2=比赛赛程!G6,参与者填写!O2=比赛赛程!H6),2,0))</f>
        <v>0</v>
      </c>
      <c r="H2" s="6" t="n">
        <f aca="false">IF(参与者填写!S2="","",IF(参与者填写!S2=比赛赛程!I7,3,0)+IF(AND(参与者填写!Q2=比赛赛程!G7,参与者填写!R2=比赛赛程!H7),2,0))</f>
        <v>0</v>
      </c>
    </row>
    <row r="3" customFormat="false" ht="19.5" hidden="false" customHeight="true" outlineLevel="0" collapsed="false">
      <c r="A3" s="8"/>
      <c r="B3" s="6" t="n">
        <f aca="false">SUM(C3:H3)</f>
        <v>0</v>
      </c>
      <c r="C3" s="6" t="n">
        <f aca="false">IF(参与者填写!D3="","",IF(参与者填写!D3=比赛赛程!I2,3,0)+IF(AND(参与者填写!B3=比赛赛程!G2,参与者填写!C3=比赛赛程!H2),2,0))</f>
        <v>0</v>
      </c>
      <c r="D3" s="6" t="n">
        <f aca="false">IF(参与者填写!G3="","",IF(参与者填写!G3=比赛赛程!I3,3,0)+IF(AND(参与者填写!E3=比赛赛程!G3,参与者填写!F3=比赛赛程!H3),2,0))</f>
        <v>0</v>
      </c>
      <c r="E3" s="6" t="n">
        <f aca="false">IF(参与者填写!J3="","",IF(参与者填写!J3=比赛赛程!I4,3,0)+IF(AND(参与者填写!H3=比赛赛程!G4,参与者填写!I3=比赛赛程!H4),2,0))</f>
        <v>0</v>
      </c>
      <c r="F3" s="6" t="n">
        <f aca="false">IF(参与者填写!M3="","",IF(参与者填写!M3=比赛赛程!I5,3,0)+IF(AND(参与者填写!K3=比赛赛程!G5,参与者填写!L3=比赛赛程!H5),2,0))</f>
        <v>0</v>
      </c>
      <c r="G3" s="6" t="n">
        <f aca="false">IF(参与者填写!P3="","",IF(参与者填写!P3=比赛赛程!I6,3,0)+IF(AND(参与者填写!N3=比赛赛程!G6,参与者填写!O3=比赛赛程!H6),2,0))</f>
        <v>0</v>
      </c>
      <c r="H3" s="6" t="n">
        <f aca="false">IF(参与者填写!S3="","",IF(参与者填写!S3=比赛赛程!I7,3,0)+IF(AND(参与者填写!Q3=比赛赛程!G7,参与者填写!R3=比赛赛程!H7),2,0))</f>
        <v>0</v>
      </c>
    </row>
    <row r="4" customFormat="false" ht="19.5" hidden="false" customHeight="true" outlineLevel="0" collapsed="false">
      <c r="A4" s="8"/>
      <c r="B4" s="6" t="n">
        <f aca="false">SUM(C4:H4)</f>
        <v>0</v>
      </c>
      <c r="C4" s="6" t="n">
        <f aca="false">IF(参与者填写!D4="","",IF(参与者填写!D4=比赛赛程!I2,3,0)+IF(AND(参与者填写!B4=比赛赛程!G2,参与者填写!C4=比赛赛程!H2),2,0))</f>
        <v>0</v>
      </c>
      <c r="D4" s="6" t="n">
        <f aca="false">IF(参与者填写!G4="","",IF(参与者填写!G4=比赛赛程!I3,3,0)+IF(AND(参与者填写!E4=比赛赛程!G3,参与者填写!F4=比赛赛程!H3),2,0))</f>
        <v>0</v>
      </c>
      <c r="E4" s="6" t="n">
        <f aca="false">IF(参与者填写!J4="","",IF(参与者填写!J4=比赛赛程!I4,3,0)+IF(AND(参与者填写!H4=比赛赛程!G4,参与者填写!I4=比赛赛程!H4),2,0))</f>
        <v>0</v>
      </c>
      <c r="F4" s="6" t="n">
        <f aca="false">IF(参与者填写!M4="","",IF(参与者填写!M4=比赛赛程!I5,3,0)+IF(AND(参与者填写!K4=比赛赛程!G5,参与者填写!L4=比赛赛程!H5),2,0))</f>
        <v>0</v>
      </c>
      <c r="G4" s="6" t="n">
        <f aca="false">IF(参与者填写!P4="","",IF(参与者填写!P4=比赛赛程!I6,3,0)+IF(AND(参与者填写!N4=比赛赛程!G6,参与者填写!O4=比赛赛程!H6),2,0))</f>
        <v>0</v>
      </c>
      <c r="H4" s="6" t="n">
        <f aca="false">IF(参与者填写!S4="","",IF(参与者填写!S4=比赛赛程!I7,3,0)+IF(AND(参与者填写!Q4=比赛赛程!G7,参与者填写!R4=比赛赛程!H7),2,0))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30" hidden="false" customHeight="true" outlineLevel="0" collapsed="false">
      <c r="A1" s="5" t="s">
        <v>78</v>
      </c>
      <c r="B1" s="5" t="s">
        <v>46</v>
      </c>
      <c r="C1" s="5" t="s">
        <v>71</v>
      </c>
    </row>
    <row r="2" customFormat="false" ht="19.5" hidden="false" customHeight="true" outlineLevel="0" collapsed="false">
      <c r="A2" s="6" t="n">
        <v>1</v>
      </c>
      <c r="B2" s="6" t="n">
        <f aca="false">积分统计!A2</f>
        <v>0</v>
      </c>
      <c r="C2" s="6" t="n">
        <f aca="false">积分统计!B2</f>
        <v>0</v>
      </c>
    </row>
    <row r="3" customFormat="false" ht="19.5" hidden="false" customHeight="true" outlineLevel="0" collapsed="false">
      <c r="A3" s="6" t="n">
        <v>2</v>
      </c>
      <c r="B3" s="6" t="n">
        <f aca="false">积分统计!A3</f>
        <v>0</v>
      </c>
      <c r="C3" s="6" t="n">
        <f aca="false">积分统计!B3</f>
        <v>0</v>
      </c>
    </row>
    <row r="4" customFormat="false" ht="19.5" hidden="false" customHeight="true" outlineLevel="0" collapsed="false">
      <c r="A4" s="6" t="n">
        <v>3</v>
      </c>
      <c r="B4" s="6" t="n">
        <f aca="false">积分统计!A4</f>
        <v>0</v>
      </c>
      <c r="C4" s="6" t="n">
        <f aca="false">积分统计!B4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2026-05-09T06:22:02Z</dcterms:created>
  <dc:creator>openpyxl</dc:creator>
  <dc:description/>
  <dc:language>en-US</dc:language>
  <cp:lastModifiedBy/>
  <dcterms:modified xsi:type="dcterms:W3CDTF">2026-05-09T06:22:02Z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