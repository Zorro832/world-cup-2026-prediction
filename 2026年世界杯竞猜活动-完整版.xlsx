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说明" sheetId="1" state="visible" r:id="rId3"/>
    <sheet name="比赛赛程" sheetId="2" state="visible" r:id="rId4"/>
    <sheet name="参与者填写" sheetId="3" state="visible" r:id="rId5"/>
    <sheet name="积分统计" sheetId="4" state="visible" r:id="rId6"/>
    <sheet name="总排名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<sst xmlns="http://schemas.openxmlformats.org/spreadsheetml/2006/main" count="574" uniqueCount="328">
  <si>
    <r>
      <rPr>
        <b val="true"/>
        <sz val="16"/>
        <color rgb="FF366092"/>
        <rFont val="Cambria"/>
        <family val="0"/>
        <charset val="1"/>
      </rPr>
      <t xml:space="preserve">2026</t>
    </r>
    <r>
      <rPr>
        <b val="true"/>
        <sz val="16"/>
        <color rgb="FF366092"/>
        <rFont val="Noto Sans CJK SC"/>
        <family val="2"/>
      </rPr>
      <t xml:space="preserve">年足球世界杯竞猜活动 </t>
    </r>
    <r>
      <rPr>
        <b val="true"/>
        <sz val="16"/>
        <color rgb="FF366092"/>
        <rFont val="Cambria"/>
        <family val="0"/>
        <charset val="1"/>
      </rPr>
      <t xml:space="preserve">- </t>
    </r>
    <r>
      <rPr>
        <b val="true"/>
        <sz val="16"/>
        <color rgb="FF366092"/>
        <rFont val="Noto Sans CJK SC"/>
        <family val="2"/>
      </rPr>
      <t xml:space="preserve">使用说明</t>
    </r>
  </si>
  <si>
    <t xml:space="preserve">📋 工作表说明</t>
  </si>
  <si>
    <r>
      <rPr>
        <sz val="10"/>
        <rFont val="Cambria"/>
        <family val="0"/>
        <charset val="1"/>
      </rPr>
      <t xml:space="preserve">1. </t>
    </r>
    <r>
      <rPr>
        <sz val="10"/>
        <rFont val="Noto Sans CJK SC"/>
        <family val="2"/>
      </rPr>
      <t xml:space="preserve">【比赛赛程】</t>
    </r>
    <r>
      <rPr>
        <sz val="10"/>
        <rFont val="Cambria"/>
        <family val="0"/>
        <charset val="1"/>
      </rPr>
      <t xml:space="preserve">- </t>
    </r>
    <r>
      <rPr>
        <sz val="10"/>
        <rFont val="Noto Sans CJK SC"/>
        <family val="2"/>
      </rPr>
      <t xml:space="preserve">包含所有</t>
    </r>
    <r>
      <rPr>
        <sz val="10"/>
        <rFont val="Cambria"/>
        <family val="0"/>
        <charset val="1"/>
      </rPr>
      <t xml:space="preserve">104</t>
    </r>
    <r>
      <rPr>
        <sz val="10"/>
        <rFont val="Noto Sans CJK SC"/>
        <family val="2"/>
      </rPr>
      <t xml:space="preserve">场比赛信息，管理员填写实际比赛结果</t>
    </r>
  </si>
  <si>
    <r>
      <rPr>
        <sz val="10"/>
        <rFont val="Cambria"/>
        <family val="0"/>
        <charset val="1"/>
      </rPr>
      <t xml:space="preserve">2. </t>
    </r>
    <r>
      <rPr>
        <sz val="10"/>
        <rFont val="Noto Sans CJK SC"/>
        <family val="2"/>
      </rPr>
      <t xml:space="preserve">【参与者填写】</t>
    </r>
    <r>
      <rPr>
        <sz val="10"/>
        <rFont val="Cambria"/>
        <family val="0"/>
        <charset val="1"/>
      </rPr>
      <t xml:space="preserve">- </t>
    </r>
    <r>
      <rPr>
        <sz val="10"/>
        <rFont val="Noto Sans CJK SC"/>
        <family val="2"/>
      </rPr>
      <t xml:space="preserve">参与者在此填写每场比赛的比分预测</t>
    </r>
  </si>
  <si>
    <r>
      <rPr>
        <sz val="10"/>
        <rFont val="Cambria"/>
        <family val="0"/>
        <charset val="1"/>
      </rPr>
      <t xml:space="preserve">3. </t>
    </r>
    <r>
      <rPr>
        <sz val="10"/>
        <rFont val="Noto Sans CJK SC"/>
        <family val="2"/>
      </rPr>
      <t xml:space="preserve">【积分统计】</t>
    </r>
    <r>
      <rPr>
        <sz val="10"/>
        <rFont val="Cambria"/>
        <family val="0"/>
        <charset val="1"/>
      </rPr>
      <t xml:space="preserve">- </t>
    </r>
    <r>
      <rPr>
        <sz val="10"/>
        <rFont val="Noto Sans CJK SC"/>
        <family val="2"/>
      </rPr>
      <t xml:space="preserve">自动计算每位参与者每场比赛的积分</t>
    </r>
  </si>
  <si>
    <r>
      <rPr>
        <sz val="10"/>
        <rFont val="Cambria"/>
        <family val="0"/>
        <charset val="1"/>
      </rPr>
      <t xml:space="preserve">4. </t>
    </r>
    <r>
      <rPr>
        <sz val="10"/>
        <rFont val="Noto Sans CJK SC"/>
        <family val="2"/>
      </rPr>
      <t xml:space="preserve">【总排名】</t>
    </r>
    <r>
      <rPr>
        <sz val="10"/>
        <rFont val="Cambria"/>
        <family val="0"/>
        <charset val="1"/>
      </rPr>
      <t xml:space="preserve">- </t>
    </r>
    <r>
      <rPr>
        <sz val="10"/>
        <rFont val="Noto Sans CJK SC"/>
        <family val="2"/>
      </rPr>
      <t xml:space="preserve">自动生成参与者总积分排名</t>
    </r>
  </si>
  <si>
    <t xml:space="preserve">🎯 积分规则（新）</t>
  </si>
  <si>
    <r>
      <rPr>
        <sz val="10"/>
        <rFont val="Noto Sans CJK SC"/>
        <family val="2"/>
      </rPr>
      <t xml:space="preserve">• 预测准确比分：得 </t>
    </r>
    <r>
      <rPr>
        <sz val="10"/>
        <rFont val="Cambria"/>
        <family val="0"/>
        <charset val="1"/>
      </rPr>
      <t xml:space="preserve">4 </t>
    </r>
    <r>
      <rPr>
        <sz val="10"/>
        <rFont val="Noto Sans CJK SC"/>
        <family val="2"/>
      </rPr>
      <t xml:space="preserve">分</t>
    </r>
  </si>
  <si>
    <r>
      <rPr>
        <sz val="10"/>
        <rFont val="Noto Sans CJK SC"/>
        <family val="2"/>
      </rPr>
      <t xml:space="preserve">• 只预测对胜负平关系：得 </t>
    </r>
    <r>
      <rPr>
        <sz val="10"/>
        <rFont val="Cambria"/>
        <family val="0"/>
        <charset val="1"/>
      </rPr>
      <t xml:space="preserve">1 </t>
    </r>
    <r>
      <rPr>
        <sz val="10"/>
        <rFont val="Noto Sans CJK SC"/>
        <family val="2"/>
      </rPr>
      <t xml:space="preserve">分</t>
    </r>
  </si>
  <si>
    <r>
      <rPr>
        <sz val="10"/>
        <rFont val="Noto Sans CJK SC"/>
        <family val="2"/>
      </rPr>
      <t xml:space="preserve">• 胜负关系和比分都没猜中：得 </t>
    </r>
    <r>
      <rPr>
        <sz val="10"/>
        <rFont val="Cambria"/>
        <family val="0"/>
        <charset val="1"/>
      </rPr>
      <t xml:space="preserve">0 </t>
    </r>
    <r>
      <rPr>
        <sz val="10"/>
        <rFont val="Noto Sans CJK SC"/>
        <family val="2"/>
      </rPr>
      <t xml:space="preserve">分</t>
    </r>
  </si>
  <si>
    <t xml:space="preserve">📝 使用步骤</t>
  </si>
  <si>
    <r>
      <rPr>
        <sz val="10"/>
        <rFont val="Cambria"/>
        <family val="0"/>
        <charset val="1"/>
      </rPr>
      <t xml:space="preserve">1. </t>
    </r>
    <r>
      <rPr>
        <sz val="10"/>
        <rFont val="Noto Sans CJK SC"/>
        <family val="2"/>
      </rPr>
      <t xml:space="preserve">在【比赛赛程】表中填写所有</t>
    </r>
    <r>
      <rPr>
        <sz val="10"/>
        <rFont val="Cambria"/>
        <family val="0"/>
        <charset val="1"/>
      </rPr>
      <t xml:space="preserve">104</t>
    </r>
    <r>
      <rPr>
        <sz val="10"/>
        <rFont val="Noto Sans CJK SC"/>
        <family val="2"/>
      </rPr>
      <t xml:space="preserve">场比赛的信息</t>
    </r>
  </si>
  <si>
    <r>
      <rPr>
        <sz val="10"/>
        <rFont val="Cambria"/>
        <family val="0"/>
        <charset val="1"/>
      </rPr>
      <t xml:space="preserve">2. </t>
    </r>
    <r>
      <rPr>
        <sz val="10"/>
        <rFont val="Noto Sans CJK SC"/>
        <family val="2"/>
      </rPr>
      <t xml:space="preserve">将</t>
    </r>
    <r>
      <rPr>
        <sz val="10"/>
        <rFont val="Cambria"/>
        <family val="0"/>
        <charset val="1"/>
      </rPr>
      <t xml:space="preserve">Excel</t>
    </r>
    <r>
      <rPr>
        <sz val="10"/>
        <rFont val="Noto Sans CJK SC"/>
        <family val="2"/>
      </rPr>
      <t xml:space="preserve">文件分享到微信群（建议使用在线</t>
    </r>
    <r>
      <rPr>
        <sz val="10"/>
        <rFont val="Cambria"/>
        <family val="0"/>
        <charset val="1"/>
      </rPr>
      <t xml:space="preserve">Excel</t>
    </r>
    <r>
      <rPr>
        <sz val="10"/>
        <rFont val="Noto Sans CJK SC"/>
        <family val="2"/>
      </rPr>
      <t xml:space="preserve">）</t>
    </r>
  </si>
  <si>
    <r>
      <rPr>
        <sz val="10"/>
        <rFont val="Cambria"/>
        <family val="0"/>
        <charset val="1"/>
      </rPr>
      <t xml:space="preserve">3. </t>
    </r>
    <r>
      <rPr>
        <sz val="10"/>
        <rFont val="Noto Sans CJK SC"/>
        <family val="2"/>
      </rPr>
      <t xml:space="preserve">每位参与者在【参与者填写】表中填写自己的预测</t>
    </r>
  </si>
  <si>
    <r>
      <rPr>
        <sz val="10"/>
        <rFont val="Cambria"/>
        <family val="0"/>
        <charset val="1"/>
      </rPr>
      <t xml:space="preserve">4. </t>
    </r>
    <r>
      <rPr>
        <sz val="10"/>
        <rFont val="Noto Sans CJK SC"/>
        <family val="2"/>
      </rPr>
      <t xml:space="preserve">比赛结束后，在【比赛赛程】表中填写实际比分</t>
    </r>
  </si>
  <si>
    <r>
      <rPr>
        <sz val="10"/>
        <rFont val="Cambria"/>
        <family val="0"/>
        <charset val="1"/>
      </rPr>
      <t xml:space="preserve">5. </t>
    </r>
    <r>
      <rPr>
        <sz val="10"/>
        <rFont val="Noto Sans CJK SC"/>
        <family val="2"/>
      </rPr>
      <t xml:space="preserve">【积分统计】和【总排名】表会自动更新</t>
    </r>
  </si>
  <si>
    <t xml:space="preserve">⚠️ 注意事项</t>
  </si>
  <si>
    <t xml:space="preserve">• 每位参与者使用不同的行填写预测</t>
  </si>
  <si>
    <t xml:space="preserve">• 预测必须在比赛开始前填写</t>
  </si>
  <si>
    <t xml:space="preserve">• 实际比分由管理员统一填写</t>
  </si>
  <si>
    <r>
      <rPr>
        <sz val="10"/>
        <rFont val="Noto Sans CJK SC"/>
        <family val="2"/>
      </rPr>
      <t xml:space="preserve">• 文件可同时供多人编辑（需使用在线</t>
    </r>
    <r>
      <rPr>
        <sz val="10"/>
        <rFont val="Cambria"/>
        <family val="0"/>
        <charset val="1"/>
      </rPr>
      <t xml:space="preserve">Excel</t>
    </r>
    <r>
      <rPr>
        <sz val="10"/>
        <rFont val="Noto Sans CJK SC"/>
        <family val="2"/>
      </rPr>
      <t xml:space="preserve">或腾讯文档）</t>
    </r>
  </si>
  <si>
    <r>
      <rPr>
        <sz val="10"/>
        <rFont val="Noto Sans CJK SC"/>
        <family val="2"/>
      </rPr>
      <t xml:space="preserve">• 本表格已预设</t>
    </r>
    <r>
      <rPr>
        <sz val="10"/>
        <rFont val="Cambria"/>
        <family val="0"/>
        <charset val="1"/>
      </rPr>
      <t xml:space="preserve">104</t>
    </r>
    <r>
      <rPr>
        <sz val="10"/>
        <rFont val="Noto Sans CJK SC"/>
        <family val="2"/>
      </rPr>
      <t xml:space="preserve">场比赛，涵盖全部赛程</t>
    </r>
  </si>
  <si>
    <t xml:space="preserve">比赛编号</t>
  </si>
  <si>
    <t xml:space="preserve">比赛阶段</t>
  </si>
  <si>
    <t xml:space="preserve">比赛日期</t>
  </si>
  <si>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</si>
  <si>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</si>
  <si>
    <r>
      <rPr>
        <b val="true"/>
        <sz val="11"/>
        <color rgb="FFFFFFFF"/>
        <rFont val="Noto Sans CJK SC"/>
        <family val="2"/>
      </rPr>
      <t xml:space="preserve">实际比分</t>
    </r>
    <r>
      <rPr>
        <b val="true"/>
        <sz val="11"/>
        <color rgb="FFFFFFFF"/>
        <rFont val="Cambria"/>
        <family val="0"/>
        <charset val="1"/>
      </rPr>
      <t xml:space="preserve">A</t>
    </r>
  </si>
  <si>
    <r>
      <rPr>
        <b val="true"/>
        <sz val="11"/>
        <color rgb="FFFFFFFF"/>
        <rFont val="Noto Sans CJK SC"/>
        <family val="2"/>
      </rPr>
      <t xml:space="preserve">实际比分</t>
    </r>
    <r>
      <rPr>
        <b val="true"/>
        <sz val="11"/>
        <color rgb="FFFFFFFF"/>
        <rFont val="Cambria"/>
        <family val="0"/>
        <charset val="1"/>
      </rPr>
      <t xml:space="preserve">B</t>
    </r>
  </si>
  <si>
    <t xml:space="preserve">实际胜负平</t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</si>
  <si>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A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轮</t>
    </r>
  </si>
  <si>
    <t xml:space="preserve">2026-06-11</t>
  </si>
  <si>
    <r>
      <rPr>
        <sz val="10"/>
        <rFont val="Noto Sans CJK SC"/>
        <family val="2"/>
      </rPr>
      <t xml:space="preserve">待定</t>
    </r>
    <r>
      <rPr>
        <sz val="10"/>
        <rFont val="Cambria"/>
        <family val="0"/>
        <charset val="1"/>
      </rPr>
      <t xml:space="preserve">A</t>
    </r>
    <r>
      <rPr>
        <sz val="10"/>
        <rFont val="Noto Sans CJK SC"/>
        <family val="2"/>
      </rPr>
      <t xml:space="preserve">队</t>
    </r>
    <r>
      <rPr>
        <sz val="10"/>
        <rFont val="Cambria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</si>
  <si>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待定</t>
    </r>
    <r>
      <rPr>
        <sz val="10"/>
        <rFont val="Cambria"/>
        <family val="0"/>
        <charset val="1"/>
      </rPr>
      <t xml:space="preserve">A</t>
    </r>
    <r>
      <rPr>
        <sz val="10"/>
        <rFont val="Noto Sans CJK SC"/>
        <family val="2"/>
      </rPr>
      <t xml:space="preserve">队</t>
    </r>
    <r>
      <rPr>
        <sz val="10"/>
        <rFont val="Cambria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</si>
  <si>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A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</si>
  <si>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A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</si>
  <si>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A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</si>
  <si>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A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</si>
  <si>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A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6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</si>
  <si>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B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</si>
  <si>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待定</t>
    </r>
    <r>
      <rPr>
        <sz val="10"/>
        <rFont val="Cambria"/>
        <family val="0"/>
        <charset val="1"/>
      </rPr>
      <t xml:space="preserve">B</t>
    </r>
    <r>
      <rPr>
        <sz val="10"/>
        <rFont val="Noto Sans CJK SC"/>
        <family val="2"/>
      </rPr>
      <t xml:space="preserve">队</t>
    </r>
    <r>
      <rPr>
        <sz val="10"/>
        <rFont val="Cambria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</si>
  <si>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待定</t>
    </r>
    <r>
      <rPr>
        <sz val="10"/>
        <rFont val="Cambria"/>
        <family val="0"/>
        <charset val="1"/>
      </rPr>
      <t xml:space="preserve">B</t>
    </r>
    <r>
      <rPr>
        <sz val="10"/>
        <rFont val="Noto Sans CJK SC"/>
        <family val="2"/>
      </rPr>
      <t xml:space="preserve">队</t>
    </r>
    <r>
      <rPr>
        <sz val="10"/>
        <rFont val="Cambria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</si>
  <si>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B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</si>
  <si>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B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轮</t>
    </r>
  </si>
  <si>
    <t xml:space="preserve">2026-06-12</t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</si>
  <si>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B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</si>
  <si>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B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</si>
  <si>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B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6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</si>
  <si>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C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</si>
  <si>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待定</t>
    </r>
    <r>
      <rPr>
        <sz val="10"/>
        <rFont val="Cambria"/>
        <family val="0"/>
        <charset val="1"/>
      </rPr>
      <t xml:space="preserve">C</t>
    </r>
    <r>
      <rPr>
        <sz val="10"/>
        <rFont val="Noto Sans CJK SC"/>
        <family val="2"/>
      </rPr>
      <t xml:space="preserve">队</t>
    </r>
    <r>
      <rPr>
        <sz val="10"/>
        <rFont val="Cambria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</si>
  <si>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待定</t>
    </r>
    <r>
      <rPr>
        <sz val="10"/>
        <rFont val="Cambria"/>
        <family val="0"/>
        <charset val="1"/>
      </rPr>
      <t xml:space="preserve">C</t>
    </r>
    <r>
      <rPr>
        <sz val="10"/>
        <rFont val="Noto Sans CJK SC"/>
        <family val="2"/>
      </rPr>
      <t xml:space="preserve">队</t>
    </r>
    <r>
      <rPr>
        <sz val="10"/>
        <rFont val="Cambria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</si>
  <si>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C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</si>
  <si>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C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</si>
  <si>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C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</si>
  <si>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C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轮</t>
    </r>
  </si>
  <si>
    <t xml:space="preserve">2026-06-13</t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</si>
  <si>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C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6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</si>
  <si>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D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</si>
  <si>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待定</t>
    </r>
    <r>
      <rPr>
        <sz val="10"/>
        <rFont val="Cambria"/>
        <family val="0"/>
        <charset val="1"/>
      </rPr>
      <t xml:space="preserve">D</t>
    </r>
    <r>
      <rPr>
        <sz val="10"/>
        <rFont val="Noto Sans CJK SC"/>
        <family val="2"/>
      </rPr>
      <t xml:space="preserve">队</t>
    </r>
    <r>
      <rPr>
        <sz val="10"/>
        <rFont val="Cambria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</si>
  <si>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待定</t>
    </r>
    <r>
      <rPr>
        <sz val="10"/>
        <rFont val="Cambria"/>
        <family val="0"/>
        <charset val="1"/>
      </rPr>
      <t xml:space="preserve">D</t>
    </r>
    <r>
      <rPr>
        <sz val="10"/>
        <rFont val="Noto Sans CJK SC"/>
        <family val="2"/>
      </rPr>
      <t xml:space="preserve">队</t>
    </r>
    <r>
      <rPr>
        <sz val="10"/>
        <rFont val="Cambria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</si>
  <si>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D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</si>
  <si>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D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</si>
  <si>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D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</si>
  <si>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D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</si>
  <si>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D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6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</si>
  <si>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E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轮</t>
    </r>
  </si>
  <si>
    <t xml:space="preserve">2026-06-14</t>
  </si>
  <si>
    <r>
      <rPr>
        <sz val="10"/>
        <rFont val="Noto Sans CJK SC"/>
        <family val="2"/>
      </rPr>
      <t xml:space="preserve">待定</t>
    </r>
    <r>
      <rPr>
        <sz val="10"/>
        <rFont val="Cambria"/>
        <family val="0"/>
        <charset val="1"/>
      </rPr>
      <t xml:space="preserve">E</t>
    </r>
    <r>
      <rPr>
        <sz val="10"/>
        <rFont val="Noto Sans CJK SC"/>
        <family val="2"/>
      </rPr>
      <t xml:space="preserve">队</t>
    </r>
    <r>
      <rPr>
        <sz val="10"/>
        <rFont val="Cambria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</si>
  <si>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待定</t>
    </r>
    <r>
      <rPr>
        <sz val="10"/>
        <rFont val="Cambria"/>
        <family val="0"/>
        <charset val="1"/>
      </rPr>
      <t xml:space="preserve">E</t>
    </r>
    <r>
      <rPr>
        <sz val="10"/>
        <rFont val="Noto Sans CJK SC"/>
        <family val="2"/>
      </rPr>
      <t xml:space="preserve">队</t>
    </r>
    <r>
      <rPr>
        <sz val="10"/>
        <rFont val="Cambria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</si>
  <si>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E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</si>
  <si>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E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</si>
  <si>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E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</si>
  <si>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E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</si>
  <si>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E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6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</si>
  <si>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F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</si>
  <si>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待定</t>
    </r>
    <r>
      <rPr>
        <sz val="10"/>
        <rFont val="Cambria"/>
        <family val="0"/>
        <charset val="1"/>
      </rPr>
      <t xml:space="preserve">F</t>
    </r>
    <r>
      <rPr>
        <sz val="10"/>
        <rFont val="Noto Sans CJK SC"/>
        <family val="2"/>
      </rPr>
      <t xml:space="preserve">队</t>
    </r>
    <r>
      <rPr>
        <sz val="10"/>
        <rFont val="Cambria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</si>
  <si>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待定</t>
    </r>
    <r>
      <rPr>
        <sz val="10"/>
        <rFont val="Cambria"/>
        <family val="0"/>
        <charset val="1"/>
      </rPr>
      <t xml:space="preserve">F</t>
    </r>
    <r>
      <rPr>
        <sz val="10"/>
        <rFont val="Noto Sans CJK SC"/>
        <family val="2"/>
      </rPr>
      <t xml:space="preserve">队</t>
    </r>
    <r>
      <rPr>
        <sz val="10"/>
        <rFont val="Cambria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</si>
  <si>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F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</si>
  <si>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F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轮</t>
    </r>
  </si>
  <si>
    <t xml:space="preserve">2026-06-15</t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</si>
  <si>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F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</si>
  <si>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F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</si>
  <si>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F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6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</si>
  <si>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G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</si>
  <si>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待定</t>
    </r>
    <r>
      <rPr>
        <sz val="10"/>
        <rFont val="Cambria"/>
        <family val="0"/>
        <charset val="1"/>
      </rPr>
      <t xml:space="preserve">G</t>
    </r>
    <r>
      <rPr>
        <sz val="10"/>
        <rFont val="Noto Sans CJK SC"/>
        <family val="2"/>
      </rPr>
      <t xml:space="preserve">队</t>
    </r>
    <r>
      <rPr>
        <sz val="10"/>
        <rFont val="Cambria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</si>
  <si>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待定</t>
    </r>
    <r>
      <rPr>
        <sz val="10"/>
        <rFont val="Cambria"/>
        <family val="0"/>
        <charset val="1"/>
      </rPr>
      <t xml:space="preserve">G</t>
    </r>
    <r>
      <rPr>
        <sz val="10"/>
        <rFont val="Noto Sans CJK SC"/>
        <family val="2"/>
      </rPr>
      <t xml:space="preserve">队</t>
    </r>
    <r>
      <rPr>
        <sz val="10"/>
        <rFont val="Cambria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</si>
  <si>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G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</si>
  <si>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G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</si>
  <si>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G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</si>
  <si>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G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轮</t>
    </r>
  </si>
  <si>
    <t xml:space="preserve">2026-06-16</t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</si>
  <si>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G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6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</si>
  <si>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H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</si>
  <si>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待定</t>
    </r>
    <r>
      <rPr>
        <sz val="10"/>
        <rFont val="Cambria"/>
        <family val="0"/>
        <charset val="1"/>
      </rPr>
      <t xml:space="preserve">H</t>
    </r>
    <r>
      <rPr>
        <sz val="10"/>
        <rFont val="Noto Sans CJK SC"/>
        <family val="2"/>
      </rPr>
      <t xml:space="preserve">队</t>
    </r>
    <r>
      <rPr>
        <sz val="10"/>
        <rFont val="Cambria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</si>
  <si>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待定</t>
    </r>
    <r>
      <rPr>
        <sz val="10"/>
        <rFont val="Cambria"/>
        <family val="0"/>
        <charset val="1"/>
      </rPr>
      <t xml:space="preserve">H</t>
    </r>
    <r>
      <rPr>
        <sz val="10"/>
        <rFont val="Noto Sans CJK SC"/>
        <family val="2"/>
      </rPr>
      <t xml:space="preserve">队</t>
    </r>
    <r>
      <rPr>
        <sz val="10"/>
        <rFont val="Cambria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</si>
  <si>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H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</si>
  <si>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H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</si>
  <si>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H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</si>
  <si>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H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</si>
  <si>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H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6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</si>
  <si>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I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轮</t>
    </r>
  </si>
  <si>
    <t xml:space="preserve">2026-06-17</t>
  </si>
  <si>
    <r>
      <rPr>
        <sz val="10"/>
        <rFont val="Noto Sans CJK SC"/>
        <family val="2"/>
      </rPr>
      <t xml:space="preserve">待定</t>
    </r>
    <r>
      <rPr>
        <sz val="10"/>
        <rFont val="Cambria"/>
        <family val="0"/>
        <charset val="1"/>
      </rPr>
      <t xml:space="preserve">I</t>
    </r>
    <r>
      <rPr>
        <sz val="10"/>
        <rFont val="Noto Sans CJK SC"/>
        <family val="2"/>
      </rPr>
      <t xml:space="preserve">队</t>
    </r>
    <r>
      <rPr>
        <sz val="10"/>
        <rFont val="Cambria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</si>
  <si>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待定</t>
    </r>
    <r>
      <rPr>
        <sz val="10"/>
        <rFont val="Cambria"/>
        <family val="0"/>
        <charset val="1"/>
      </rPr>
      <t xml:space="preserve">I</t>
    </r>
    <r>
      <rPr>
        <sz val="10"/>
        <rFont val="Noto Sans CJK SC"/>
        <family val="2"/>
      </rPr>
      <t xml:space="preserve">队</t>
    </r>
    <r>
      <rPr>
        <sz val="10"/>
        <rFont val="Cambria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</si>
  <si>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I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</si>
  <si>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I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</si>
  <si>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I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</si>
  <si>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I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</si>
  <si>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I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6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</si>
  <si>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J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</si>
  <si>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待定</t>
    </r>
    <r>
      <rPr>
        <sz val="10"/>
        <rFont val="Cambria"/>
        <family val="0"/>
        <charset val="1"/>
      </rPr>
      <t xml:space="preserve">J</t>
    </r>
    <r>
      <rPr>
        <sz val="10"/>
        <rFont val="Noto Sans CJK SC"/>
        <family val="2"/>
      </rPr>
      <t xml:space="preserve">队</t>
    </r>
    <r>
      <rPr>
        <sz val="10"/>
        <rFont val="Cambria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</si>
  <si>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待定</t>
    </r>
    <r>
      <rPr>
        <sz val="10"/>
        <rFont val="Cambria"/>
        <family val="0"/>
        <charset val="1"/>
      </rPr>
      <t xml:space="preserve">J</t>
    </r>
    <r>
      <rPr>
        <sz val="10"/>
        <rFont val="Noto Sans CJK SC"/>
        <family val="2"/>
      </rPr>
      <t xml:space="preserve">队</t>
    </r>
    <r>
      <rPr>
        <sz val="10"/>
        <rFont val="Cambria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</si>
  <si>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J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</si>
  <si>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J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轮</t>
    </r>
  </si>
  <si>
    <t xml:space="preserve">2026-06-18</t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</si>
  <si>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J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</si>
  <si>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J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</si>
  <si>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J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6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</si>
  <si>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K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</si>
  <si>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待定</t>
    </r>
    <r>
      <rPr>
        <sz val="10"/>
        <rFont val="Cambria"/>
        <family val="0"/>
        <charset val="1"/>
      </rPr>
      <t xml:space="preserve">K</t>
    </r>
    <r>
      <rPr>
        <sz val="10"/>
        <rFont val="Noto Sans CJK SC"/>
        <family val="2"/>
      </rPr>
      <t xml:space="preserve">队</t>
    </r>
    <r>
      <rPr>
        <sz val="10"/>
        <rFont val="Cambria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</si>
  <si>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待定</t>
    </r>
    <r>
      <rPr>
        <sz val="10"/>
        <rFont val="Cambria"/>
        <family val="0"/>
        <charset val="1"/>
      </rPr>
      <t xml:space="preserve">K</t>
    </r>
    <r>
      <rPr>
        <sz val="10"/>
        <rFont val="Noto Sans CJK SC"/>
        <family val="2"/>
      </rPr>
      <t xml:space="preserve">队</t>
    </r>
    <r>
      <rPr>
        <sz val="10"/>
        <rFont val="Cambria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</si>
  <si>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K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</si>
  <si>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K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</si>
  <si>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K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</si>
  <si>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K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轮</t>
    </r>
  </si>
  <si>
    <t xml:space="preserve">2026-06-19</t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</si>
  <si>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K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6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</si>
  <si>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L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</si>
  <si>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待定</t>
    </r>
    <r>
      <rPr>
        <sz val="10"/>
        <rFont val="Cambria"/>
        <family val="0"/>
        <charset val="1"/>
      </rPr>
      <t xml:space="preserve">L</t>
    </r>
    <r>
      <rPr>
        <sz val="10"/>
        <rFont val="Noto Sans CJK SC"/>
        <family val="2"/>
      </rPr>
      <t xml:space="preserve">队</t>
    </r>
    <r>
      <rPr>
        <sz val="10"/>
        <rFont val="Cambria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</si>
  <si>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待定</t>
    </r>
    <r>
      <rPr>
        <sz val="10"/>
        <rFont val="Cambria"/>
        <family val="0"/>
        <charset val="1"/>
      </rPr>
      <t xml:space="preserve">L</t>
    </r>
    <r>
      <rPr>
        <sz val="10"/>
        <rFont val="Noto Sans CJK SC"/>
        <family val="2"/>
      </rPr>
      <t xml:space="preserve">队</t>
    </r>
    <r>
      <rPr>
        <sz val="10"/>
        <rFont val="Cambria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</si>
  <si>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L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</si>
  <si>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L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</si>
  <si>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L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</si>
  <si>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L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轮</t>
    </r>
  </si>
  <si>
    <r>
      <rPr>
        <sz val="10"/>
        <rFont val="Noto Sans CJK SC"/>
        <family val="2"/>
      </rPr>
      <t xml:space="preserve">小组赛</t>
    </r>
    <r>
      <rPr>
        <sz val="10"/>
        <rFont val="Cambria"/>
        <family val="0"/>
        <charset val="1"/>
      </rPr>
      <t xml:space="preserve">L</t>
    </r>
    <r>
      <rPr>
        <sz val="10"/>
        <rFont val="Noto Sans CJK SC"/>
        <family val="2"/>
      </rPr>
      <t xml:space="preserve">组第</t>
    </r>
    <r>
      <rPr>
        <sz val="10"/>
        <rFont val="Cambria"/>
        <family val="0"/>
        <charset val="1"/>
      </rPr>
      <t xml:space="preserve">6</t>
    </r>
    <r>
      <rPr>
        <sz val="10"/>
        <rFont val="Noto Sans CJK SC"/>
        <family val="2"/>
      </rPr>
      <t xml:space="preserve">轮</t>
    </r>
  </si>
  <si>
    <r>
      <rPr>
        <sz val="10"/>
        <rFont val="Cambria"/>
        <family val="0"/>
        <charset val="1"/>
      </rPr>
      <t xml:space="preserve">Round of 32 - </t>
    </r>
    <r>
      <rPr>
        <sz val="10"/>
        <rFont val="Noto Sans CJK SC"/>
        <family val="2"/>
      </rPr>
      <t xml:space="preserve">第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场</t>
    </r>
  </si>
  <si>
    <t xml:space="preserve">2026-06-28</t>
  </si>
  <si>
    <t xml:space="preserve">待定</t>
  </si>
  <si>
    <r>
      <rPr>
        <sz val="10"/>
        <rFont val="Cambria"/>
        <family val="0"/>
        <charset val="1"/>
      </rPr>
      <t xml:space="preserve">Round of 32 - </t>
    </r>
    <r>
      <rPr>
        <sz val="10"/>
        <rFont val="Noto Sans CJK SC"/>
        <family val="2"/>
      </rPr>
      <t xml:space="preserve">第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场</t>
    </r>
  </si>
  <si>
    <r>
      <rPr>
        <sz val="10"/>
        <rFont val="Cambria"/>
        <family val="0"/>
        <charset val="1"/>
      </rPr>
      <t xml:space="preserve">Round of 32 - </t>
    </r>
    <r>
      <rPr>
        <sz val="10"/>
        <rFont val="Noto Sans CJK SC"/>
        <family val="2"/>
      </rPr>
      <t xml:space="preserve">第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场</t>
    </r>
  </si>
  <si>
    <t xml:space="preserve">2026-06-29</t>
  </si>
  <si>
    <r>
      <rPr>
        <sz val="10"/>
        <rFont val="Cambria"/>
        <family val="0"/>
        <charset val="1"/>
      </rPr>
      <t xml:space="preserve">Round of 32 - </t>
    </r>
    <r>
      <rPr>
        <sz val="10"/>
        <rFont val="Noto Sans CJK SC"/>
        <family val="2"/>
      </rPr>
      <t xml:space="preserve">第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场</t>
    </r>
  </si>
  <si>
    <r>
      <rPr>
        <sz val="10"/>
        <rFont val="Cambria"/>
        <family val="0"/>
        <charset val="1"/>
      </rPr>
      <t xml:space="preserve">Round of 32 - </t>
    </r>
    <r>
      <rPr>
        <sz val="10"/>
        <rFont val="Noto Sans CJK SC"/>
        <family val="2"/>
      </rPr>
      <t xml:space="preserve">第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场</t>
    </r>
  </si>
  <si>
    <t xml:space="preserve">2026-06-30</t>
  </si>
  <si>
    <r>
      <rPr>
        <sz val="10"/>
        <rFont val="Cambria"/>
        <family val="0"/>
        <charset val="1"/>
      </rPr>
      <t xml:space="preserve">Round of 32 - </t>
    </r>
    <r>
      <rPr>
        <sz val="10"/>
        <rFont val="Noto Sans CJK SC"/>
        <family val="2"/>
      </rPr>
      <t xml:space="preserve">第</t>
    </r>
    <r>
      <rPr>
        <sz val="10"/>
        <rFont val="Cambria"/>
        <family val="0"/>
        <charset val="1"/>
      </rPr>
      <t xml:space="preserve">6</t>
    </r>
    <r>
      <rPr>
        <sz val="10"/>
        <rFont val="Noto Sans CJK SC"/>
        <family val="2"/>
      </rPr>
      <t xml:space="preserve">场</t>
    </r>
  </si>
  <si>
    <r>
      <rPr>
        <sz val="10"/>
        <rFont val="Cambria"/>
        <family val="0"/>
        <charset val="1"/>
      </rPr>
      <t xml:space="preserve">Round of 32 - </t>
    </r>
    <r>
      <rPr>
        <sz val="10"/>
        <rFont val="Noto Sans CJK SC"/>
        <family val="2"/>
      </rPr>
      <t xml:space="preserve">第</t>
    </r>
    <r>
      <rPr>
        <sz val="10"/>
        <rFont val="Cambria"/>
        <family val="0"/>
        <charset val="1"/>
      </rPr>
      <t xml:space="preserve">7</t>
    </r>
    <r>
      <rPr>
        <sz val="10"/>
        <rFont val="Noto Sans CJK SC"/>
        <family val="2"/>
      </rPr>
      <t xml:space="preserve">场</t>
    </r>
  </si>
  <si>
    <t xml:space="preserve">2026-07-01</t>
  </si>
  <si>
    <r>
      <rPr>
        <sz val="10"/>
        <rFont val="Cambria"/>
        <family val="0"/>
        <charset val="1"/>
      </rPr>
      <t xml:space="preserve">Round of 32 - </t>
    </r>
    <r>
      <rPr>
        <sz val="10"/>
        <rFont val="Noto Sans CJK SC"/>
        <family val="2"/>
      </rPr>
      <t xml:space="preserve">第</t>
    </r>
    <r>
      <rPr>
        <sz val="10"/>
        <rFont val="Cambria"/>
        <family val="0"/>
        <charset val="1"/>
      </rPr>
      <t xml:space="preserve">8</t>
    </r>
    <r>
      <rPr>
        <sz val="10"/>
        <rFont val="Noto Sans CJK SC"/>
        <family val="2"/>
      </rPr>
      <t xml:space="preserve">场</t>
    </r>
  </si>
  <si>
    <r>
      <rPr>
        <sz val="10"/>
        <rFont val="Cambria"/>
        <family val="0"/>
        <charset val="1"/>
      </rPr>
      <t xml:space="preserve">Round of 16 - </t>
    </r>
    <r>
      <rPr>
        <sz val="10"/>
        <rFont val="Noto Sans CJK SC"/>
        <family val="2"/>
      </rPr>
      <t xml:space="preserve">第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场</t>
    </r>
  </si>
  <si>
    <t xml:space="preserve">2026-07-02</t>
  </si>
  <si>
    <r>
      <rPr>
        <sz val="10"/>
        <rFont val="Cambria"/>
        <family val="0"/>
        <charset val="1"/>
      </rPr>
      <t xml:space="preserve">Round of 16 - </t>
    </r>
    <r>
      <rPr>
        <sz val="10"/>
        <rFont val="Noto Sans CJK SC"/>
        <family val="2"/>
      </rPr>
      <t xml:space="preserve">第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场</t>
    </r>
  </si>
  <si>
    <r>
      <rPr>
        <sz val="10"/>
        <rFont val="Cambria"/>
        <family val="0"/>
        <charset val="1"/>
      </rPr>
      <t xml:space="preserve">Round of 16 - </t>
    </r>
    <r>
      <rPr>
        <sz val="10"/>
        <rFont val="Noto Sans CJK SC"/>
        <family val="2"/>
      </rPr>
      <t xml:space="preserve">第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场</t>
    </r>
  </si>
  <si>
    <t xml:space="preserve">2026-07-03</t>
  </si>
  <si>
    <r>
      <rPr>
        <sz val="10"/>
        <rFont val="Cambria"/>
        <family val="0"/>
        <charset val="1"/>
      </rPr>
      <t xml:space="preserve">Round of 16 - </t>
    </r>
    <r>
      <rPr>
        <sz val="10"/>
        <rFont val="Noto Sans CJK SC"/>
        <family val="2"/>
      </rPr>
      <t xml:space="preserve">第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场</t>
    </r>
  </si>
  <si>
    <r>
      <rPr>
        <sz val="10"/>
        <rFont val="Cambria"/>
        <family val="0"/>
        <charset val="1"/>
      </rPr>
      <t xml:space="preserve">Round of 16 - </t>
    </r>
    <r>
      <rPr>
        <sz val="10"/>
        <rFont val="Noto Sans CJK SC"/>
        <family val="2"/>
      </rPr>
      <t xml:space="preserve">第</t>
    </r>
    <r>
      <rPr>
        <sz val="10"/>
        <rFont val="Cambria"/>
        <family val="0"/>
        <charset val="1"/>
      </rPr>
      <t xml:space="preserve">5</t>
    </r>
    <r>
      <rPr>
        <sz val="10"/>
        <rFont val="Noto Sans CJK SC"/>
        <family val="2"/>
      </rPr>
      <t xml:space="preserve">场</t>
    </r>
  </si>
  <si>
    <t xml:space="preserve">2026-07-04</t>
  </si>
  <si>
    <r>
      <rPr>
        <sz val="10"/>
        <rFont val="Cambria"/>
        <family val="0"/>
        <charset val="1"/>
      </rPr>
      <t xml:space="preserve">Round of 16 - </t>
    </r>
    <r>
      <rPr>
        <sz val="10"/>
        <rFont val="Noto Sans CJK SC"/>
        <family val="2"/>
      </rPr>
      <t xml:space="preserve">第</t>
    </r>
    <r>
      <rPr>
        <sz val="10"/>
        <rFont val="Cambria"/>
        <family val="0"/>
        <charset val="1"/>
      </rPr>
      <t xml:space="preserve">6</t>
    </r>
    <r>
      <rPr>
        <sz val="10"/>
        <rFont val="Noto Sans CJK SC"/>
        <family val="2"/>
      </rPr>
      <t xml:space="preserve">场</t>
    </r>
  </si>
  <si>
    <r>
      <rPr>
        <sz val="10"/>
        <rFont val="Cambria"/>
        <family val="0"/>
        <charset val="1"/>
      </rPr>
      <t xml:space="preserve">Round of 16 - </t>
    </r>
    <r>
      <rPr>
        <sz val="10"/>
        <rFont val="Noto Sans CJK SC"/>
        <family val="2"/>
      </rPr>
      <t xml:space="preserve">第</t>
    </r>
    <r>
      <rPr>
        <sz val="10"/>
        <rFont val="Cambria"/>
        <family val="0"/>
        <charset val="1"/>
      </rPr>
      <t xml:space="preserve">7</t>
    </r>
    <r>
      <rPr>
        <sz val="10"/>
        <rFont val="Noto Sans CJK SC"/>
        <family val="2"/>
      </rPr>
      <t xml:space="preserve">场</t>
    </r>
  </si>
  <si>
    <t xml:space="preserve">2026-07-05</t>
  </si>
  <si>
    <r>
      <rPr>
        <sz val="10"/>
        <rFont val="Cambria"/>
        <family val="0"/>
        <charset val="1"/>
      </rPr>
      <t xml:space="preserve">Round of 16 - </t>
    </r>
    <r>
      <rPr>
        <sz val="10"/>
        <rFont val="Noto Sans CJK SC"/>
        <family val="2"/>
      </rPr>
      <t xml:space="preserve">第</t>
    </r>
    <r>
      <rPr>
        <sz val="10"/>
        <rFont val="Cambria"/>
        <family val="0"/>
        <charset val="1"/>
      </rPr>
      <t xml:space="preserve">8</t>
    </r>
    <r>
      <rPr>
        <sz val="10"/>
        <rFont val="Noto Sans CJK SC"/>
        <family val="2"/>
      </rPr>
      <t xml:space="preserve">场</t>
    </r>
  </si>
  <si>
    <r>
      <rPr>
        <sz val="10"/>
        <rFont val="Cambria"/>
        <family val="0"/>
        <charset val="1"/>
      </rPr>
      <t xml:space="preserve">Quarterfinal - </t>
    </r>
    <r>
      <rPr>
        <sz val="10"/>
        <rFont val="Noto Sans CJK SC"/>
        <family val="2"/>
      </rPr>
      <t xml:space="preserve">第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场</t>
    </r>
  </si>
  <si>
    <t xml:space="preserve">2026-07-07</t>
  </si>
  <si>
    <r>
      <rPr>
        <sz val="10"/>
        <rFont val="Cambria"/>
        <family val="0"/>
        <charset val="1"/>
      </rPr>
      <t xml:space="preserve">Quarterfinal - </t>
    </r>
    <r>
      <rPr>
        <sz val="10"/>
        <rFont val="Noto Sans CJK SC"/>
        <family val="2"/>
      </rPr>
      <t xml:space="preserve">第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场</t>
    </r>
  </si>
  <si>
    <r>
      <rPr>
        <sz val="10"/>
        <rFont val="Cambria"/>
        <family val="0"/>
        <charset val="1"/>
      </rPr>
      <t xml:space="preserve">Quarterfinal - </t>
    </r>
    <r>
      <rPr>
        <sz val="10"/>
        <rFont val="Noto Sans CJK SC"/>
        <family val="2"/>
      </rPr>
      <t xml:space="preserve">第</t>
    </r>
    <r>
      <rPr>
        <sz val="10"/>
        <rFont val="Cambria"/>
        <family val="0"/>
        <charset val="1"/>
      </rPr>
      <t xml:space="preserve">3</t>
    </r>
    <r>
      <rPr>
        <sz val="10"/>
        <rFont val="Noto Sans CJK SC"/>
        <family val="2"/>
      </rPr>
      <t xml:space="preserve">场</t>
    </r>
  </si>
  <si>
    <t xml:space="preserve">2026-07-08</t>
  </si>
  <si>
    <r>
      <rPr>
        <sz val="10"/>
        <rFont val="Cambria"/>
        <family val="0"/>
        <charset val="1"/>
      </rPr>
      <t xml:space="preserve">Quarterfinal - </t>
    </r>
    <r>
      <rPr>
        <sz val="10"/>
        <rFont val="Noto Sans CJK SC"/>
        <family val="2"/>
      </rPr>
      <t xml:space="preserve">第</t>
    </r>
    <r>
      <rPr>
        <sz val="10"/>
        <rFont val="Cambria"/>
        <family val="0"/>
        <charset val="1"/>
      </rPr>
      <t xml:space="preserve">4</t>
    </r>
    <r>
      <rPr>
        <sz val="10"/>
        <rFont val="Noto Sans CJK SC"/>
        <family val="2"/>
      </rPr>
      <t xml:space="preserve">场</t>
    </r>
  </si>
  <si>
    <r>
      <rPr>
        <sz val="10"/>
        <rFont val="Cambria"/>
        <family val="0"/>
        <charset val="1"/>
      </rPr>
      <t xml:space="preserve">Semifinal - </t>
    </r>
    <r>
      <rPr>
        <sz val="10"/>
        <rFont val="Noto Sans CJK SC"/>
        <family val="2"/>
      </rPr>
      <t xml:space="preserve">第</t>
    </r>
    <r>
      <rPr>
        <sz val="10"/>
        <rFont val="Cambria"/>
        <family val="0"/>
        <charset val="1"/>
      </rPr>
      <t xml:space="preserve">1</t>
    </r>
    <r>
      <rPr>
        <sz val="10"/>
        <rFont val="Noto Sans CJK SC"/>
        <family val="2"/>
      </rPr>
      <t xml:space="preserve">场</t>
    </r>
  </si>
  <si>
    <t xml:space="preserve">2026-07-10</t>
  </si>
  <si>
    <r>
      <rPr>
        <sz val="10"/>
        <rFont val="Cambria"/>
        <family val="0"/>
        <charset val="1"/>
      </rPr>
      <t xml:space="preserve">Semifinal - </t>
    </r>
    <r>
      <rPr>
        <sz val="10"/>
        <rFont val="Noto Sans CJK SC"/>
        <family val="2"/>
      </rPr>
      <t xml:space="preserve">第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场</t>
    </r>
  </si>
  <si>
    <t xml:space="preserve">2026-07-11</t>
  </si>
  <si>
    <t xml:space="preserve">3rd Place Match</t>
  </si>
  <si>
    <t xml:space="preserve">2026-07-13</t>
  </si>
  <si>
    <t xml:space="preserve">Final</t>
  </si>
  <si>
    <t xml:space="preserve">2026-07-14</t>
  </si>
  <si>
    <t xml:space="preserve">参与者姓名</t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</si>
  <si>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</si>
  <si>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</si>
  <si>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2-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</si>
  <si>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2-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</si>
  <si>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3-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</si>
  <si>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3-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</si>
  <si>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4-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</si>
  <si>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4-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</si>
  <si>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5-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</si>
  <si>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5-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</si>
  <si>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6-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</si>
  <si>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6-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</si>
  <si>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7-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</si>
  <si>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7-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</si>
  <si>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8-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</si>
  <si>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8-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</si>
  <si>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9-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</si>
  <si>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9-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</si>
  <si>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10-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</si>
  <si>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10-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</si>
  <si>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11-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</si>
  <si>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11-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</si>
  <si>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12-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</si>
  <si>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12-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</si>
  <si>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13-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</si>
  <si>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13-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</si>
  <si>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14-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</si>
  <si>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14-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</si>
  <si>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15-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</si>
  <si>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15-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</si>
  <si>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16-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</si>
  <si>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16-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</si>
  <si>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17-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</si>
  <si>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17-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</si>
  <si>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18-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</si>
  <si>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18-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</si>
  <si>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19-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</si>
  <si>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19-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</si>
  <si>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20-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比分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</si>
  <si>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20-</t>
    </r>
    <r>
      <rPr>
        <b val="true"/>
        <sz val="11"/>
        <color rgb="FFFFFFFF"/>
        <rFont val="Noto Sans CJK SC"/>
        <family val="2"/>
      </rPr>
      <t xml:space="preserve">队伍</t>
    </r>
    <r>
      <rPr>
        <b val="true"/>
        <sz val="11"/>
        <color rgb="FFFFFFFF"/>
        <rFont val="Cambria"/>
        <family val="0"/>
        <charset val="1"/>
      </rPr>
      <t xml:space="preserve">B</t>
    </r>
    <r>
      <rPr>
        <b val="true"/>
        <sz val="11"/>
        <color rgb="FFFFFFFF"/>
        <rFont val="Noto Sans CJK SC"/>
        <family val="2"/>
      </rPr>
      <t xml:space="preserve">比分</t>
    </r>
  </si>
  <si>
    <t xml:space="preserve">张三</t>
  </si>
  <si>
    <t xml:space="preserve">李四</t>
  </si>
  <si>
    <t xml:space="preserve">王五</t>
  </si>
  <si>
    <t xml:space="preserve">赵六</t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</si>
  <si>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</si>
  <si>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</si>
  <si>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</si>
  <si>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</si>
  <si>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</si>
  <si>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6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</si>
  <si>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</si>
  <si>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8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</si>
  <si>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9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</si>
  <si>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10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</si>
  <si>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11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</si>
  <si>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12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</si>
  <si>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13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</si>
  <si>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14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</si>
  <si>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15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</si>
  <si>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16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</si>
  <si>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17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</si>
  <si>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18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</si>
  <si>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19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</si>
  <si>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20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</si>
  <si>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21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</si>
  <si>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22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</si>
  <si>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23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</si>
  <si>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24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</si>
  <si>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25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</si>
  <si>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26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</si>
  <si>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27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</si>
  <si>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28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</si>
  <si>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29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</si>
  <si>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30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</si>
  <si>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31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</si>
  <si>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32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</si>
  <si>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33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</si>
  <si>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34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</si>
  <si>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35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</si>
  <si>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36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</si>
  <si>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37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</si>
  <si>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38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</si>
  <si>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39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</si>
  <si>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40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</si>
  <si>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41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</si>
  <si>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42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</si>
  <si>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43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</si>
  <si>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44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</si>
  <si>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45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</si>
  <si>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46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</si>
  <si>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47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</si>
  <si>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48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</si>
  <si>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49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</si>
  <si>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50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</si>
  <si>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51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</si>
  <si>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52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</si>
  <si>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53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</si>
  <si>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54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</si>
  <si>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55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</si>
  <si>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56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</si>
  <si>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57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</si>
  <si>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58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</si>
  <si>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59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</si>
  <si>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60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</si>
  <si>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61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</si>
  <si>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62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</si>
  <si>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63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</si>
  <si>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64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</si>
  <si>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65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</si>
  <si>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66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</si>
  <si>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67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</si>
  <si>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68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</si>
  <si>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69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</si>
  <si>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70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</si>
  <si>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71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</si>
  <si>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72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</si>
  <si>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73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</si>
  <si>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74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</si>
  <si>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75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</si>
  <si>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76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</si>
  <si>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77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</si>
  <si>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78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</si>
  <si>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79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</si>
  <si>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80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</si>
  <si>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81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</si>
  <si>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82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</si>
  <si>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83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</si>
  <si>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84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</si>
  <si>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85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</si>
  <si>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86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</si>
  <si>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87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</si>
  <si>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88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</si>
  <si>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89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</si>
  <si>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90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</si>
  <si>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91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</si>
  <si>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92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</si>
  <si>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93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</si>
  <si>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94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</si>
  <si>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95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</si>
  <si>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96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</si>
  <si>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97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</si>
  <si>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98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</si>
  <si>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99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</si>
  <si>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100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</si>
  <si>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101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</si>
  <si>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102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</si>
  <si>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103</t>
    </r>
    <r>
      <rPr>
        <b val="true"/>
        <sz val="11"/>
        <color rgb="FFFFFFFF"/>
        <rFont val="Noto Sans CJK SC"/>
        <family val="2"/>
      </rPr>
      <t xml:space="preserve">积分</t>
    </r>
  </si>
  <si>
    <r>
      <rPr>
        <b val="true"/>
        <sz val="11"/>
        <color rgb="FFFFFFFF"/>
        <rFont val="Noto Sans CJK SC"/>
        <family val="2"/>
      </rPr>
      <t xml:space="preserve">比赛</t>
    </r>
    <r>
      <rPr>
        <b val="true"/>
        <sz val="11"/>
        <color rgb="FFFFFFFF"/>
        <rFont val="Cambria"/>
        <family val="0"/>
        <charset val="1"/>
      </rPr>
      <t xml:space="preserve">104</t>
    </r>
    <r>
      <rPr>
        <b val="true"/>
        <sz val="11"/>
        <color rgb="FFFFFFFF"/>
        <rFont val="Noto Sans CJK SC"/>
        <family val="2"/>
      </rPr>
      <t xml:space="preserve">积分</t>
    </r>
  </si>
  <si>
    <t xml:space="preserve">排名</t>
  </si>
  <si>
    <t xml:space="preserve">总积分</t>
  </si>
  <si>
    <t xml:space="preserve">准确比分场数</t>
  </si>
  <si>
    <t xml:space="preserve">猜中胜负平场数</t>
  </si>
  <si>
    <t xml:space="preserve">总预测场数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</si>
</sst>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66092"/>
      <name val="Cambria"/>
      <family val="0"/>
      <charset val="1"/>
    </font>
    <font>
      <b val="true"/>
      <sz val="16"/>
      <color rgb="FF366092"/>
      <name val="Noto Sans CJK SC"/>
      <family val="2"/>
    </font>
    <font>
      <sz val="10"/>
      <name val="Cambria"/>
      <family val="0"/>
      <charset val="1"/>
    </font>
    <font>
      <b val="true"/>
      <sz val="12"/>
      <color rgb="FF366092"/>
      <name val="Noto Sans CJK SC"/>
      <family val="2"/>
    </font>
    <font>
      <sz val="1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0"/>
  </cols>
  <sheetData>
    <row r="1" customFormat="false" ht="30" hidden="false" customHeight="true" outlineLevel="0" collapsed="false">
      <c r="A1" s="1" t="s">
        <v>0</v>
      </c>
    </row>
    <row r="2" customFormat="false" ht="19.5" hidden="false" customHeight="true" outlineLevel="0" collapsed="false">
      <c r="A2" s="2"/>
    </row>
    <row r="3" customFormat="false" ht="24.75" hidden="false" customHeight="true" outlineLevel="0" collapsed="false">
      <c r="A3" s="3" t="s">
        <v>1</v>
      </c>
    </row>
    <row r="4" customFormat="false" ht="19.5" hidden="false" customHeight="true" outlineLevel="0" collapsed="false">
      <c r="A4" s="2" t="s">
        <v>2</v>
      </c>
    </row>
    <row r="5" customFormat="false" ht="19.5" hidden="false" customHeight="true" outlineLevel="0" collapsed="false">
      <c r="A5" s="2" t="s">
        <v>3</v>
      </c>
    </row>
    <row r="6" customFormat="false" ht="19.5" hidden="false" customHeight="true" outlineLevel="0" collapsed="false">
      <c r="A6" s="2" t="s">
        <v>4</v>
      </c>
    </row>
    <row r="7" customFormat="false" ht="19.5" hidden="false" customHeight="true" outlineLevel="0" collapsed="false">
      <c r="A7" s="2" t="s">
        <v>5</v>
      </c>
    </row>
    <row r="8" customFormat="false" ht="19.5" hidden="false" customHeight="true" outlineLevel="0" collapsed="false">
      <c r="A8" s="2"/>
    </row>
    <row r="9" customFormat="false" ht="24.75" hidden="false" customHeight="true" outlineLevel="0" collapsed="false">
      <c r="A9" s="3" t="s">
        <v>6</v>
      </c>
    </row>
    <row r="10" customFormat="false" ht="19.5" hidden="false" customHeight="true" outlineLevel="0" collapsed="false">
      <c r="A10" s="4" t="s">
        <v>7</v>
      </c>
    </row>
    <row r="11" customFormat="false" ht="19.5" hidden="false" customHeight="true" outlineLevel="0" collapsed="false">
      <c r="A11" s="4" t="s">
        <v>8</v>
      </c>
    </row>
    <row r="12" customFormat="false" ht="19.5" hidden="false" customHeight="true" outlineLevel="0" collapsed="false">
      <c r="A12" s="4" t="s">
        <v>9</v>
      </c>
    </row>
    <row r="13" customFormat="false" ht="19.5" hidden="false" customHeight="true" outlineLevel="0" collapsed="false">
      <c r="A13" s="2"/>
    </row>
    <row r="14" customFormat="false" ht="24.75" hidden="false" customHeight="true" outlineLevel="0" collapsed="false">
      <c r="A14" s="3" t="s">
        <v>10</v>
      </c>
    </row>
    <row r="15" customFormat="false" ht="19.5" hidden="false" customHeight="true" outlineLevel="0" collapsed="false">
      <c r="A15" s="2" t="s">
        <v>11</v>
      </c>
    </row>
    <row r="16" customFormat="false" ht="19.5" hidden="false" customHeight="true" outlineLevel="0" collapsed="false">
      <c r="A16" s="2" t="s">
        <v>12</v>
      </c>
    </row>
    <row r="17" customFormat="false" ht="19.5" hidden="false" customHeight="true" outlineLevel="0" collapsed="false">
      <c r="A17" s="2" t="s">
        <v>13</v>
      </c>
    </row>
    <row r="18" customFormat="false" ht="19.5" hidden="false" customHeight="true" outlineLevel="0" collapsed="false">
      <c r="A18" s="2" t="s">
        <v>14</v>
      </c>
    </row>
    <row r="19" customFormat="false" ht="19.5" hidden="false" customHeight="true" outlineLevel="0" collapsed="false">
      <c r="A19" s="2" t="s">
        <v>15</v>
      </c>
    </row>
    <row r="20" customFormat="false" ht="19.5" hidden="false" customHeight="true" outlineLevel="0" collapsed="false">
      <c r="A20" s="2"/>
    </row>
    <row r="21" customFormat="false" ht="24.75" hidden="false" customHeight="true" outlineLevel="0" collapsed="false">
      <c r="A21" s="3" t="s">
        <v>16</v>
      </c>
    </row>
    <row r="22" customFormat="false" ht="19.5" hidden="false" customHeight="true" outlineLevel="0" collapsed="false">
      <c r="A22" s="4" t="s">
        <v>17</v>
      </c>
    </row>
    <row r="23" customFormat="false" ht="19.5" hidden="false" customHeight="true" outlineLevel="0" collapsed="false">
      <c r="A23" s="4" t="s">
        <v>18</v>
      </c>
    </row>
    <row r="24" customFormat="false" ht="19.5" hidden="false" customHeight="true" outlineLevel="0" collapsed="false">
      <c r="A24" s="4" t="s">
        <v>19</v>
      </c>
    </row>
    <row r="25" customFormat="false" ht="19.5" hidden="false" customHeight="true" outlineLevel="0" collapsed="false">
      <c r="A25" s="4" t="s">
        <v>20</v>
      </c>
    </row>
    <row r="26" customFormat="false" ht="19.5" hidden="false" customHeight="true" outlineLevel="0" collapsed="false">
      <c r="A26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5" min="4" style="0" width="20"/>
    <col collapsed="false" customWidth="true" hidden="false" outlineLevel="0" max="8" min="6" style="0" width="12"/>
  </cols>
  <sheetData>
    <row r="1" customFormat="false" ht="30" hidden="false" customHeight="true" outlineLevel="0" collapsed="false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</row>
    <row r="2" customFormat="false" ht="18" hidden="false" customHeight="true" outlineLevel="0" collapsed="false">
      <c r="A2" s="6" t="n">
        <v>1</v>
      </c>
      <c r="B2" s="7" t="s">
        <v>30</v>
      </c>
      <c r="C2" s="6" t="s">
        <v>31</v>
      </c>
      <c r="D2" s="7" t="s">
        <v>32</v>
      </c>
      <c r="E2" s="7" t="s">
        <v>33</v>
      </c>
      <c r="F2" s="6"/>
      <c r="G2" s="6"/>
      <c r="H2" s="6"/>
    </row>
    <row r="3" customFormat="false" ht="18" hidden="false" customHeight="true" outlineLevel="0" collapsed="false">
      <c r="A3" s="6" t="n">
        <v>2</v>
      </c>
      <c r="B3" s="7" t="s">
        <v>34</v>
      </c>
      <c r="C3" s="6" t="s">
        <v>31</v>
      </c>
      <c r="D3" s="7" t="s">
        <v>32</v>
      </c>
      <c r="E3" s="7" t="s">
        <v>33</v>
      </c>
      <c r="F3" s="6"/>
      <c r="G3" s="6"/>
      <c r="H3" s="6"/>
    </row>
    <row r="4" customFormat="false" ht="18" hidden="false" customHeight="true" outlineLevel="0" collapsed="false">
      <c r="A4" s="6" t="n">
        <v>3</v>
      </c>
      <c r="B4" s="7" t="s">
        <v>35</v>
      </c>
      <c r="C4" s="6" t="s">
        <v>31</v>
      </c>
      <c r="D4" s="7" t="s">
        <v>32</v>
      </c>
      <c r="E4" s="7" t="s">
        <v>33</v>
      </c>
      <c r="F4" s="6"/>
      <c r="G4" s="6"/>
      <c r="H4" s="6"/>
    </row>
    <row r="5" customFormat="false" ht="18" hidden="false" customHeight="true" outlineLevel="0" collapsed="false">
      <c r="A5" s="6" t="n">
        <v>4</v>
      </c>
      <c r="B5" s="7" t="s">
        <v>36</v>
      </c>
      <c r="C5" s="6" t="s">
        <v>31</v>
      </c>
      <c r="D5" s="7" t="s">
        <v>32</v>
      </c>
      <c r="E5" s="7" t="s">
        <v>33</v>
      </c>
      <c r="F5" s="6"/>
      <c r="G5" s="6"/>
      <c r="H5" s="6"/>
    </row>
    <row r="6" customFormat="false" ht="18" hidden="false" customHeight="true" outlineLevel="0" collapsed="false">
      <c r="A6" s="6" t="n">
        <v>5</v>
      </c>
      <c r="B6" s="7" t="s">
        <v>37</v>
      </c>
      <c r="C6" s="6" t="s">
        <v>31</v>
      </c>
      <c r="D6" s="7" t="s">
        <v>32</v>
      </c>
      <c r="E6" s="7" t="s">
        <v>33</v>
      </c>
      <c r="F6" s="6"/>
      <c r="G6" s="6"/>
      <c r="H6" s="6"/>
    </row>
    <row r="7" customFormat="false" ht="18" hidden="false" customHeight="true" outlineLevel="0" collapsed="false">
      <c r="A7" s="6" t="n">
        <v>6</v>
      </c>
      <c r="B7" s="7" t="s">
        <v>38</v>
      </c>
      <c r="C7" s="6" t="s">
        <v>31</v>
      </c>
      <c r="D7" s="7" t="s">
        <v>32</v>
      </c>
      <c r="E7" s="7" t="s">
        <v>33</v>
      </c>
      <c r="F7" s="6"/>
      <c r="G7" s="6"/>
      <c r="H7" s="6"/>
    </row>
    <row r="8" customFormat="false" ht="18" hidden="false" customHeight="true" outlineLevel="0" collapsed="false">
      <c r="A8" s="6" t="n">
        <v>7</v>
      </c>
      <c r="B8" s="7" t="s">
        <v>39</v>
      </c>
      <c r="C8" s="6" t="s">
        <v>31</v>
      </c>
      <c r="D8" s="7" t="s">
        <v>40</v>
      </c>
      <c r="E8" s="7" t="s">
        <v>41</v>
      </c>
      <c r="F8" s="6"/>
      <c r="G8" s="6"/>
      <c r="H8" s="6"/>
    </row>
    <row r="9" customFormat="false" ht="18" hidden="false" customHeight="true" outlineLevel="0" collapsed="false">
      <c r="A9" s="6" t="n">
        <v>8</v>
      </c>
      <c r="B9" s="7" t="s">
        <v>42</v>
      </c>
      <c r="C9" s="6" t="s">
        <v>31</v>
      </c>
      <c r="D9" s="7" t="s">
        <v>40</v>
      </c>
      <c r="E9" s="7" t="s">
        <v>41</v>
      </c>
      <c r="F9" s="6"/>
      <c r="G9" s="6"/>
      <c r="H9" s="6"/>
    </row>
    <row r="10" customFormat="false" ht="18" hidden="false" customHeight="true" outlineLevel="0" collapsed="false">
      <c r="A10" s="6" t="n">
        <v>9</v>
      </c>
      <c r="B10" s="7" t="s">
        <v>43</v>
      </c>
      <c r="C10" s="6" t="s">
        <v>44</v>
      </c>
      <c r="D10" s="7" t="s">
        <v>40</v>
      </c>
      <c r="E10" s="7" t="s">
        <v>41</v>
      </c>
      <c r="F10" s="6"/>
      <c r="G10" s="6"/>
      <c r="H10" s="6"/>
    </row>
    <row r="11" customFormat="false" ht="18" hidden="false" customHeight="true" outlineLevel="0" collapsed="false">
      <c r="A11" s="6" t="n">
        <v>10</v>
      </c>
      <c r="B11" s="7" t="s">
        <v>45</v>
      </c>
      <c r="C11" s="6" t="s">
        <v>44</v>
      </c>
      <c r="D11" s="7" t="s">
        <v>40</v>
      </c>
      <c r="E11" s="7" t="s">
        <v>41</v>
      </c>
      <c r="F11" s="6"/>
      <c r="G11" s="6"/>
      <c r="H11" s="6"/>
    </row>
    <row r="12" customFormat="false" ht="18" hidden="false" customHeight="true" outlineLevel="0" collapsed="false">
      <c r="A12" s="6" t="n">
        <v>11</v>
      </c>
      <c r="B12" s="7" t="s">
        <v>46</v>
      </c>
      <c r="C12" s="6" t="s">
        <v>44</v>
      </c>
      <c r="D12" s="7" t="s">
        <v>40</v>
      </c>
      <c r="E12" s="7" t="s">
        <v>41</v>
      </c>
      <c r="F12" s="6"/>
      <c r="G12" s="6"/>
      <c r="H12" s="6"/>
    </row>
    <row r="13" customFormat="false" ht="18" hidden="false" customHeight="true" outlineLevel="0" collapsed="false">
      <c r="A13" s="6" t="n">
        <v>12</v>
      </c>
      <c r="B13" s="7" t="s">
        <v>47</v>
      </c>
      <c r="C13" s="6" t="s">
        <v>44</v>
      </c>
      <c r="D13" s="7" t="s">
        <v>40</v>
      </c>
      <c r="E13" s="7" t="s">
        <v>41</v>
      </c>
      <c r="F13" s="6"/>
      <c r="G13" s="6"/>
      <c r="H13" s="6"/>
    </row>
    <row r="14" customFormat="false" ht="18" hidden="false" customHeight="true" outlineLevel="0" collapsed="false">
      <c r="A14" s="6" t="n">
        <v>13</v>
      </c>
      <c r="B14" s="7" t="s">
        <v>48</v>
      </c>
      <c r="C14" s="6" t="s">
        <v>44</v>
      </c>
      <c r="D14" s="7" t="s">
        <v>49</v>
      </c>
      <c r="E14" s="7" t="s">
        <v>50</v>
      </c>
      <c r="F14" s="6"/>
      <c r="G14" s="6"/>
      <c r="H14" s="6"/>
    </row>
    <row r="15" customFormat="false" ht="18" hidden="false" customHeight="true" outlineLevel="0" collapsed="false">
      <c r="A15" s="6" t="n">
        <v>14</v>
      </c>
      <c r="B15" s="7" t="s">
        <v>51</v>
      </c>
      <c r="C15" s="6" t="s">
        <v>44</v>
      </c>
      <c r="D15" s="7" t="s">
        <v>49</v>
      </c>
      <c r="E15" s="7" t="s">
        <v>50</v>
      </c>
      <c r="F15" s="6"/>
      <c r="G15" s="6"/>
      <c r="H15" s="6"/>
    </row>
    <row r="16" customFormat="false" ht="18" hidden="false" customHeight="true" outlineLevel="0" collapsed="false">
      <c r="A16" s="6" t="n">
        <v>15</v>
      </c>
      <c r="B16" s="7" t="s">
        <v>52</v>
      </c>
      <c r="C16" s="6" t="s">
        <v>44</v>
      </c>
      <c r="D16" s="7" t="s">
        <v>49</v>
      </c>
      <c r="E16" s="7" t="s">
        <v>50</v>
      </c>
      <c r="F16" s="6"/>
      <c r="G16" s="6"/>
      <c r="H16" s="6"/>
    </row>
    <row r="17" customFormat="false" ht="18" hidden="false" customHeight="true" outlineLevel="0" collapsed="false">
      <c r="A17" s="6" t="n">
        <v>16</v>
      </c>
      <c r="B17" s="7" t="s">
        <v>53</v>
      </c>
      <c r="C17" s="6" t="s">
        <v>44</v>
      </c>
      <c r="D17" s="7" t="s">
        <v>49</v>
      </c>
      <c r="E17" s="7" t="s">
        <v>50</v>
      </c>
      <c r="F17" s="6"/>
      <c r="G17" s="6"/>
      <c r="H17" s="6"/>
    </row>
    <row r="18" customFormat="false" ht="18" hidden="false" customHeight="true" outlineLevel="0" collapsed="false">
      <c r="A18" s="6" t="n">
        <v>17</v>
      </c>
      <c r="B18" s="7" t="s">
        <v>54</v>
      </c>
      <c r="C18" s="6" t="s">
        <v>55</v>
      </c>
      <c r="D18" s="7" t="s">
        <v>49</v>
      </c>
      <c r="E18" s="7" t="s">
        <v>50</v>
      </c>
      <c r="F18" s="6"/>
      <c r="G18" s="6"/>
      <c r="H18" s="6"/>
    </row>
    <row r="19" customFormat="false" ht="18" hidden="false" customHeight="true" outlineLevel="0" collapsed="false">
      <c r="A19" s="6" t="n">
        <v>18</v>
      </c>
      <c r="B19" s="7" t="s">
        <v>56</v>
      </c>
      <c r="C19" s="6" t="s">
        <v>55</v>
      </c>
      <c r="D19" s="7" t="s">
        <v>49</v>
      </c>
      <c r="E19" s="7" t="s">
        <v>50</v>
      </c>
      <c r="F19" s="6"/>
      <c r="G19" s="6"/>
      <c r="H19" s="6"/>
    </row>
    <row r="20" customFormat="false" ht="18" hidden="false" customHeight="true" outlineLevel="0" collapsed="false">
      <c r="A20" s="6" t="n">
        <v>19</v>
      </c>
      <c r="B20" s="7" t="s">
        <v>57</v>
      </c>
      <c r="C20" s="6" t="s">
        <v>55</v>
      </c>
      <c r="D20" s="7" t="s">
        <v>58</v>
      </c>
      <c r="E20" s="7" t="s">
        <v>59</v>
      </c>
      <c r="F20" s="6"/>
      <c r="G20" s="6"/>
      <c r="H20" s="6"/>
    </row>
    <row r="21" customFormat="false" ht="18" hidden="false" customHeight="true" outlineLevel="0" collapsed="false">
      <c r="A21" s="6" t="n">
        <v>20</v>
      </c>
      <c r="B21" s="7" t="s">
        <v>60</v>
      </c>
      <c r="C21" s="6" t="s">
        <v>55</v>
      </c>
      <c r="D21" s="7" t="s">
        <v>58</v>
      </c>
      <c r="E21" s="7" t="s">
        <v>59</v>
      </c>
      <c r="F21" s="6"/>
      <c r="G21" s="6"/>
      <c r="H21" s="6"/>
    </row>
    <row r="22" customFormat="false" ht="18" hidden="false" customHeight="true" outlineLevel="0" collapsed="false">
      <c r="A22" s="6" t="n">
        <v>21</v>
      </c>
      <c r="B22" s="7" t="s">
        <v>61</v>
      </c>
      <c r="C22" s="6" t="s">
        <v>55</v>
      </c>
      <c r="D22" s="7" t="s">
        <v>58</v>
      </c>
      <c r="E22" s="7" t="s">
        <v>59</v>
      </c>
      <c r="F22" s="6"/>
      <c r="G22" s="6"/>
      <c r="H22" s="6"/>
    </row>
    <row r="23" customFormat="false" ht="18" hidden="false" customHeight="true" outlineLevel="0" collapsed="false">
      <c r="A23" s="6" t="n">
        <v>22</v>
      </c>
      <c r="B23" s="7" t="s">
        <v>62</v>
      </c>
      <c r="C23" s="6" t="s">
        <v>55</v>
      </c>
      <c r="D23" s="7" t="s">
        <v>58</v>
      </c>
      <c r="E23" s="7" t="s">
        <v>59</v>
      </c>
      <c r="F23" s="6"/>
      <c r="G23" s="6"/>
      <c r="H23" s="6"/>
    </row>
    <row r="24" customFormat="false" ht="18" hidden="false" customHeight="true" outlineLevel="0" collapsed="false">
      <c r="A24" s="6" t="n">
        <v>23</v>
      </c>
      <c r="B24" s="7" t="s">
        <v>63</v>
      </c>
      <c r="C24" s="6" t="s">
        <v>55</v>
      </c>
      <c r="D24" s="7" t="s">
        <v>58</v>
      </c>
      <c r="E24" s="7" t="s">
        <v>59</v>
      </c>
      <c r="F24" s="6"/>
      <c r="G24" s="6"/>
      <c r="H24" s="6"/>
    </row>
    <row r="25" customFormat="false" ht="18" hidden="false" customHeight="true" outlineLevel="0" collapsed="false">
      <c r="A25" s="6" t="n">
        <v>24</v>
      </c>
      <c r="B25" s="7" t="s">
        <v>64</v>
      </c>
      <c r="C25" s="6" t="s">
        <v>55</v>
      </c>
      <c r="D25" s="7" t="s">
        <v>58</v>
      </c>
      <c r="E25" s="7" t="s">
        <v>59</v>
      </c>
      <c r="F25" s="6"/>
      <c r="G25" s="6"/>
      <c r="H25" s="6"/>
    </row>
    <row r="26" customFormat="false" ht="18" hidden="false" customHeight="true" outlineLevel="0" collapsed="false">
      <c r="A26" s="6" t="n">
        <v>25</v>
      </c>
      <c r="B26" s="7" t="s">
        <v>65</v>
      </c>
      <c r="C26" s="6" t="s">
        <v>66</v>
      </c>
      <c r="D26" s="7" t="s">
        <v>67</v>
      </c>
      <c r="E26" s="7" t="s">
        <v>68</v>
      </c>
      <c r="F26" s="6"/>
      <c r="G26" s="6"/>
      <c r="H26" s="6"/>
    </row>
    <row r="27" customFormat="false" ht="18" hidden="false" customHeight="true" outlineLevel="0" collapsed="false">
      <c r="A27" s="6" t="n">
        <v>26</v>
      </c>
      <c r="B27" s="7" t="s">
        <v>69</v>
      </c>
      <c r="C27" s="6" t="s">
        <v>66</v>
      </c>
      <c r="D27" s="7" t="s">
        <v>67</v>
      </c>
      <c r="E27" s="7" t="s">
        <v>68</v>
      </c>
      <c r="F27" s="6"/>
      <c r="G27" s="6"/>
      <c r="H27" s="6"/>
    </row>
    <row r="28" customFormat="false" ht="18" hidden="false" customHeight="true" outlineLevel="0" collapsed="false">
      <c r="A28" s="6" t="n">
        <v>27</v>
      </c>
      <c r="B28" s="7" t="s">
        <v>70</v>
      </c>
      <c r="C28" s="6" t="s">
        <v>66</v>
      </c>
      <c r="D28" s="7" t="s">
        <v>67</v>
      </c>
      <c r="E28" s="7" t="s">
        <v>68</v>
      </c>
      <c r="F28" s="6"/>
      <c r="G28" s="6"/>
      <c r="H28" s="6"/>
    </row>
    <row r="29" customFormat="false" ht="18" hidden="false" customHeight="true" outlineLevel="0" collapsed="false">
      <c r="A29" s="6" t="n">
        <v>28</v>
      </c>
      <c r="B29" s="7" t="s">
        <v>71</v>
      </c>
      <c r="C29" s="6" t="s">
        <v>66</v>
      </c>
      <c r="D29" s="7" t="s">
        <v>67</v>
      </c>
      <c r="E29" s="7" t="s">
        <v>68</v>
      </c>
      <c r="F29" s="6"/>
      <c r="G29" s="6"/>
      <c r="H29" s="6"/>
    </row>
    <row r="30" customFormat="false" ht="18" hidden="false" customHeight="true" outlineLevel="0" collapsed="false">
      <c r="A30" s="6" t="n">
        <v>29</v>
      </c>
      <c r="B30" s="7" t="s">
        <v>72</v>
      </c>
      <c r="C30" s="6" t="s">
        <v>66</v>
      </c>
      <c r="D30" s="7" t="s">
        <v>67</v>
      </c>
      <c r="E30" s="7" t="s">
        <v>68</v>
      </c>
      <c r="F30" s="6"/>
      <c r="G30" s="6"/>
      <c r="H30" s="6"/>
    </row>
    <row r="31" customFormat="false" ht="18" hidden="false" customHeight="true" outlineLevel="0" collapsed="false">
      <c r="A31" s="6" t="n">
        <v>30</v>
      </c>
      <c r="B31" s="7" t="s">
        <v>73</v>
      </c>
      <c r="C31" s="6" t="s">
        <v>66</v>
      </c>
      <c r="D31" s="7" t="s">
        <v>67</v>
      </c>
      <c r="E31" s="7" t="s">
        <v>68</v>
      </c>
      <c r="F31" s="6"/>
      <c r="G31" s="6"/>
      <c r="H31" s="6"/>
    </row>
    <row r="32" customFormat="false" ht="18" hidden="false" customHeight="true" outlineLevel="0" collapsed="false">
      <c r="A32" s="6" t="n">
        <v>31</v>
      </c>
      <c r="B32" s="7" t="s">
        <v>74</v>
      </c>
      <c r="C32" s="6" t="s">
        <v>66</v>
      </c>
      <c r="D32" s="7" t="s">
        <v>75</v>
      </c>
      <c r="E32" s="7" t="s">
        <v>76</v>
      </c>
      <c r="F32" s="6"/>
      <c r="G32" s="6"/>
      <c r="H32" s="6"/>
    </row>
    <row r="33" customFormat="false" ht="18" hidden="false" customHeight="true" outlineLevel="0" collapsed="false">
      <c r="A33" s="6" t="n">
        <v>32</v>
      </c>
      <c r="B33" s="7" t="s">
        <v>77</v>
      </c>
      <c r="C33" s="6" t="s">
        <v>66</v>
      </c>
      <c r="D33" s="7" t="s">
        <v>75</v>
      </c>
      <c r="E33" s="7" t="s">
        <v>76</v>
      </c>
      <c r="F33" s="6"/>
      <c r="G33" s="6"/>
      <c r="H33" s="6"/>
    </row>
    <row r="34" customFormat="false" ht="18" hidden="false" customHeight="true" outlineLevel="0" collapsed="false">
      <c r="A34" s="6" t="n">
        <v>33</v>
      </c>
      <c r="B34" s="7" t="s">
        <v>78</v>
      </c>
      <c r="C34" s="6" t="s">
        <v>79</v>
      </c>
      <c r="D34" s="7" t="s">
        <v>75</v>
      </c>
      <c r="E34" s="7" t="s">
        <v>76</v>
      </c>
      <c r="F34" s="6"/>
      <c r="G34" s="6"/>
      <c r="H34" s="6"/>
    </row>
    <row r="35" customFormat="false" ht="18" hidden="false" customHeight="true" outlineLevel="0" collapsed="false">
      <c r="A35" s="6" t="n">
        <v>34</v>
      </c>
      <c r="B35" s="7" t="s">
        <v>80</v>
      </c>
      <c r="C35" s="6" t="s">
        <v>79</v>
      </c>
      <c r="D35" s="7" t="s">
        <v>75</v>
      </c>
      <c r="E35" s="7" t="s">
        <v>76</v>
      </c>
      <c r="F35" s="6"/>
      <c r="G35" s="6"/>
      <c r="H35" s="6"/>
    </row>
    <row r="36" customFormat="false" ht="18" hidden="false" customHeight="true" outlineLevel="0" collapsed="false">
      <c r="A36" s="6" t="n">
        <v>35</v>
      </c>
      <c r="B36" s="7" t="s">
        <v>81</v>
      </c>
      <c r="C36" s="6" t="s">
        <v>79</v>
      </c>
      <c r="D36" s="7" t="s">
        <v>75</v>
      </c>
      <c r="E36" s="7" t="s">
        <v>76</v>
      </c>
      <c r="F36" s="6"/>
      <c r="G36" s="6"/>
      <c r="H36" s="6"/>
    </row>
    <row r="37" customFormat="false" ht="18" hidden="false" customHeight="true" outlineLevel="0" collapsed="false">
      <c r="A37" s="6" t="n">
        <v>36</v>
      </c>
      <c r="B37" s="7" t="s">
        <v>82</v>
      </c>
      <c r="C37" s="6" t="s">
        <v>79</v>
      </c>
      <c r="D37" s="7" t="s">
        <v>75</v>
      </c>
      <c r="E37" s="7" t="s">
        <v>76</v>
      </c>
      <c r="F37" s="6"/>
      <c r="G37" s="6"/>
      <c r="H37" s="6"/>
    </row>
    <row r="38" customFormat="false" ht="18" hidden="false" customHeight="true" outlineLevel="0" collapsed="false">
      <c r="A38" s="6" t="n">
        <v>37</v>
      </c>
      <c r="B38" s="7" t="s">
        <v>83</v>
      </c>
      <c r="C38" s="6" t="s">
        <v>79</v>
      </c>
      <c r="D38" s="7" t="s">
        <v>84</v>
      </c>
      <c r="E38" s="7" t="s">
        <v>85</v>
      </c>
      <c r="F38" s="6"/>
      <c r="G38" s="6"/>
      <c r="H38" s="6"/>
    </row>
    <row r="39" customFormat="false" ht="18" hidden="false" customHeight="true" outlineLevel="0" collapsed="false">
      <c r="A39" s="6" t="n">
        <v>38</v>
      </c>
      <c r="B39" s="7" t="s">
        <v>86</v>
      </c>
      <c r="C39" s="6" t="s">
        <v>79</v>
      </c>
      <c r="D39" s="7" t="s">
        <v>84</v>
      </c>
      <c r="E39" s="7" t="s">
        <v>85</v>
      </c>
      <c r="F39" s="6"/>
      <c r="G39" s="6"/>
      <c r="H39" s="6"/>
    </row>
    <row r="40" customFormat="false" ht="18" hidden="false" customHeight="true" outlineLevel="0" collapsed="false">
      <c r="A40" s="6" t="n">
        <v>39</v>
      </c>
      <c r="B40" s="7" t="s">
        <v>87</v>
      </c>
      <c r="C40" s="6" t="s">
        <v>79</v>
      </c>
      <c r="D40" s="7" t="s">
        <v>84</v>
      </c>
      <c r="E40" s="7" t="s">
        <v>85</v>
      </c>
      <c r="F40" s="6"/>
      <c r="G40" s="6"/>
      <c r="H40" s="6"/>
    </row>
    <row r="41" customFormat="false" ht="18" hidden="false" customHeight="true" outlineLevel="0" collapsed="false">
      <c r="A41" s="6" t="n">
        <v>40</v>
      </c>
      <c r="B41" s="7" t="s">
        <v>88</v>
      </c>
      <c r="C41" s="6" t="s">
        <v>79</v>
      </c>
      <c r="D41" s="7" t="s">
        <v>84</v>
      </c>
      <c r="E41" s="7" t="s">
        <v>85</v>
      </c>
      <c r="F41" s="6"/>
      <c r="G41" s="6"/>
      <c r="H41" s="6"/>
    </row>
    <row r="42" customFormat="false" ht="18" hidden="false" customHeight="true" outlineLevel="0" collapsed="false">
      <c r="A42" s="6" t="n">
        <v>41</v>
      </c>
      <c r="B42" s="7" t="s">
        <v>89</v>
      </c>
      <c r="C42" s="6" t="s">
        <v>90</v>
      </c>
      <c r="D42" s="7" t="s">
        <v>84</v>
      </c>
      <c r="E42" s="7" t="s">
        <v>85</v>
      </c>
      <c r="F42" s="6"/>
      <c r="G42" s="6"/>
      <c r="H42" s="6"/>
    </row>
    <row r="43" customFormat="false" ht="18" hidden="false" customHeight="true" outlineLevel="0" collapsed="false">
      <c r="A43" s="6" t="n">
        <v>42</v>
      </c>
      <c r="B43" s="7" t="s">
        <v>91</v>
      </c>
      <c r="C43" s="6" t="s">
        <v>90</v>
      </c>
      <c r="D43" s="7" t="s">
        <v>84</v>
      </c>
      <c r="E43" s="7" t="s">
        <v>85</v>
      </c>
      <c r="F43" s="6"/>
      <c r="G43" s="6"/>
      <c r="H43" s="6"/>
    </row>
    <row r="44" customFormat="false" ht="18" hidden="false" customHeight="true" outlineLevel="0" collapsed="false">
      <c r="A44" s="6" t="n">
        <v>43</v>
      </c>
      <c r="B44" s="7" t="s">
        <v>92</v>
      </c>
      <c r="C44" s="6" t="s">
        <v>90</v>
      </c>
      <c r="D44" s="7" t="s">
        <v>93</v>
      </c>
      <c r="E44" s="7" t="s">
        <v>94</v>
      </c>
      <c r="F44" s="6"/>
      <c r="G44" s="6"/>
      <c r="H44" s="6"/>
    </row>
    <row r="45" customFormat="false" ht="18" hidden="false" customHeight="true" outlineLevel="0" collapsed="false">
      <c r="A45" s="6" t="n">
        <v>44</v>
      </c>
      <c r="B45" s="7" t="s">
        <v>95</v>
      </c>
      <c r="C45" s="6" t="s">
        <v>90</v>
      </c>
      <c r="D45" s="7" t="s">
        <v>93</v>
      </c>
      <c r="E45" s="7" t="s">
        <v>94</v>
      </c>
      <c r="F45" s="6"/>
      <c r="G45" s="6"/>
      <c r="H45" s="6"/>
    </row>
    <row r="46" customFormat="false" ht="18" hidden="false" customHeight="true" outlineLevel="0" collapsed="false">
      <c r="A46" s="6" t="n">
        <v>45</v>
      </c>
      <c r="B46" s="7" t="s">
        <v>96</v>
      </c>
      <c r="C46" s="6" t="s">
        <v>90</v>
      </c>
      <c r="D46" s="7" t="s">
        <v>93</v>
      </c>
      <c r="E46" s="7" t="s">
        <v>94</v>
      </c>
      <c r="F46" s="6"/>
      <c r="G46" s="6"/>
      <c r="H46" s="6"/>
    </row>
    <row r="47" customFormat="false" ht="18" hidden="false" customHeight="true" outlineLevel="0" collapsed="false">
      <c r="A47" s="6" t="n">
        <v>46</v>
      </c>
      <c r="B47" s="7" t="s">
        <v>97</v>
      </c>
      <c r="C47" s="6" t="s">
        <v>90</v>
      </c>
      <c r="D47" s="7" t="s">
        <v>93</v>
      </c>
      <c r="E47" s="7" t="s">
        <v>94</v>
      </c>
      <c r="F47" s="6"/>
      <c r="G47" s="6"/>
      <c r="H47" s="6"/>
    </row>
    <row r="48" customFormat="false" ht="18" hidden="false" customHeight="true" outlineLevel="0" collapsed="false">
      <c r="A48" s="6" t="n">
        <v>47</v>
      </c>
      <c r="B48" s="7" t="s">
        <v>98</v>
      </c>
      <c r="C48" s="6" t="s">
        <v>90</v>
      </c>
      <c r="D48" s="7" t="s">
        <v>93</v>
      </c>
      <c r="E48" s="7" t="s">
        <v>94</v>
      </c>
      <c r="F48" s="6"/>
      <c r="G48" s="6"/>
      <c r="H48" s="6"/>
    </row>
    <row r="49" customFormat="false" ht="18" hidden="false" customHeight="true" outlineLevel="0" collapsed="false">
      <c r="A49" s="6" t="n">
        <v>48</v>
      </c>
      <c r="B49" s="7" t="s">
        <v>99</v>
      </c>
      <c r="C49" s="6" t="s">
        <v>90</v>
      </c>
      <c r="D49" s="7" t="s">
        <v>93</v>
      </c>
      <c r="E49" s="7" t="s">
        <v>94</v>
      </c>
      <c r="F49" s="6"/>
      <c r="G49" s="6"/>
      <c r="H49" s="6"/>
    </row>
    <row r="50" customFormat="false" ht="18" hidden="false" customHeight="true" outlineLevel="0" collapsed="false">
      <c r="A50" s="6" t="n">
        <v>49</v>
      </c>
      <c r="B50" s="7" t="s">
        <v>100</v>
      </c>
      <c r="C50" s="6" t="s">
        <v>101</v>
      </c>
      <c r="D50" s="7" t="s">
        <v>102</v>
      </c>
      <c r="E50" s="7" t="s">
        <v>103</v>
      </c>
      <c r="F50" s="6"/>
      <c r="G50" s="6"/>
      <c r="H50" s="6"/>
    </row>
    <row r="51" customFormat="false" ht="18" hidden="false" customHeight="true" outlineLevel="0" collapsed="false">
      <c r="A51" s="6" t="n">
        <v>50</v>
      </c>
      <c r="B51" s="7" t="s">
        <v>104</v>
      </c>
      <c r="C51" s="6" t="s">
        <v>101</v>
      </c>
      <c r="D51" s="7" t="s">
        <v>102</v>
      </c>
      <c r="E51" s="7" t="s">
        <v>103</v>
      </c>
      <c r="F51" s="6"/>
      <c r="G51" s="6"/>
      <c r="H51" s="6"/>
    </row>
    <row r="52" customFormat="false" ht="18" hidden="false" customHeight="true" outlineLevel="0" collapsed="false">
      <c r="A52" s="6" t="n">
        <v>51</v>
      </c>
      <c r="B52" s="7" t="s">
        <v>105</v>
      </c>
      <c r="C52" s="6" t="s">
        <v>101</v>
      </c>
      <c r="D52" s="7" t="s">
        <v>102</v>
      </c>
      <c r="E52" s="7" t="s">
        <v>103</v>
      </c>
      <c r="F52" s="6"/>
      <c r="G52" s="6"/>
      <c r="H52" s="6"/>
    </row>
    <row r="53" customFormat="false" ht="18" hidden="false" customHeight="true" outlineLevel="0" collapsed="false">
      <c r="A53" s="6" t="n">
        <v>52</v>
      </c>
      <c r="B53" s="7" t="s">
        <v>106</v>
      </c>
      <c r="C53" s="6" t="s">
        <v>101</v>
      </c>
      <c r="D53" s="7" t="s">
        <v>102</v>
      </c>
      <c r="E53" s="7" t="s">
        <v>103</v>
      </c>
      <c r="F53" s="6"/>
      <c r="G53" s="6"/>
      <c r="H53" s="6"/>
    </row>
    <row r="54" customFormat="false" ht="18" hidden="false" customHeight="true" outlineLevel="0" collapsed="false">
      <c r="A54" s="6" t="n">
        <v>53</v>
      </c>
      <c r="B54" s="7" t="s">
        <v>107</v>
      </c>
      <c r="C54" s="6" t="s">
        <v>101</v>
      </c>
      <c r="D54" s="7" t="s">
        <v>102</v>
      </c>
      <c r="E54" s="7" t="s">
        <v>103</v>
      </c>
      <c r="F54" s="6"/>
      <c r="G54" s="6"/>
      <c r="H54" s="6"/>
    </row>
    <row r="55" customFormat="false" ht="18" hidden="false" customHeight="true" outlineLevel="0" collapsed="false">
      <c r="A55" s="6" t="n">
        <v>54</v>
      </c>
      <c r="B55" s="7" t="s">
        <v>108</v>
      </c>
      <c r="C55" s="6" t="s">
        <v>101</v>
      </c>
      <c r="D55" s="7" t="s">
        <v>102</v>
      </c>
      <c r="E55" s="7" t="s">
        <v>103</v>
      </c>
      <c r="F55" s="6"/>
      <c r="G55" s="6"/>
      <c r="H55" s="6"/>
    </row>
    <row r="56" customFormat="false" ht="18" hidden="false" customHeight="true" outlineLevel="0" collapsed="false">
      <c r="A56" s="6" t="n">
        <v>55</v>
      </c>
      <c r="B56" s="7" t="s">
        <v>109</v>
      </c>
      <c r="C56" s="6" t="s">
        <v>101</v>
      </c>
      <c r="D56" s="7" t="s">
        <v>110</v>
      </c>
      <c r="E56" s="7" t="s">
        <v>111</v>
      </c>
      <c r="F56" s="6"/>
      <c r="G56" s="6"/>
      <c r="H56" s="6"/>
    </row>
    <row r="57" customFormat="false" ht="18" hidden="false" customHeight="true" outlineLevel="0" collapsed="false">
      <c r="A57" s="6" t="n">
        <v>56</v>
      </c>
      <c r="B57" s="7" t="s">
        <v>112</v>
      </c>
      <c r="C57" s="6" t="s">
        <v>101</v>
      </c>
      <c r="D57" s="7" t="s">
        <v>110</v>
      </c>
      <c r="E57" s="7" t="s">
        <v>111</v>
      </c>
      <c r="F57" s="6"/>
      <c r="G57" s="6"/>
      <c r="H57" s="6"/>
    </row>
    <row r="58" customFormat="false" ht="18" hidden="false" customHeight="true" outlineLevel="0" collapsed="false">
      <c r="A58" s="6" t="n">
        <v>57</v>
      </c>
      <c r="B58" s="7" t="s">
        <v>113</v>
      </c>
      <c r="C58" s="6" t="s">
        <v>114</v>
      </c>
      <c r="D58" s="7" t="s">
        <v>110</v>
      </c>
      <c r="E58" s="7" t="s">
        <v>111</v>
      </c>
      <c r="F58" s="6"/>
      <c r="G58" s="6"/>
      <c r="H58" s="6"/>
    </row>
    <row r="59" customFormat="false" ht="18" hidden="false" customHeight="true" outlineLevel="0" collapsed="false">
      <c r="A59" s="6" t="n">
        <v>58</v>
      </c>
      <c r="B59" s="7" t="s">
        <v>115</v>
      </c>
      <c r="C59" s="6" t="s">
        <v>114</v>
      </c>
      <c r="D59" s="7" t="s">
        <v>110</v>
      </c>
      <c r="E59" s="7" t="s">
        <v>111</v>
      </c>
      <c r="F59" s="6"/>
      <c r="G59" s="6"/>
      <c r="H59" s="6"/>
    </row>
    <row r="60" customFormat="false" ht="18" hidden="false" customHeight="true" outlineLevel="0" collapsed="false">
      <c r="A60" s="6" t="n">
        <v>59</v>
      </c>
      <c r="B60" s="7" t="s">
        <v>116</v>
      </c>
      <c r="C60" s="6" t="s">
        <v>114</v>
      </c>
      <c r="D60" s="7" t="s">
        <v>110</v>
      </c>
      <c r="E60" s="7" t="s">
        <v>111</v>
      </c>
      <c r="F60" s="6"/>
      <c r="G60" s="6"/>
      <c r="H60" s="6"/>
    </row>
    <row r="61" customFormat="false" ht="18" hidden="false" customHeight="true" outlineLevel="0" collapsed="false">
      <c r="A61" s="6" t="n">
        <v>60</v>
      </c>
      <c r="B61" s="7" t="s">
        <v>117</v>
      </c>
      <c r="C61" s="6" t="s">
        <v>114</v>
      </c>
      <c r="D61" s="7" t="s">
        <v>110</v>
      </c>
      <c r="E61" s="7" t="s">
        <v>111</v>
      </c>
      <c r="F61" s="6"/>
      <c r="G61" s="6"/>
      <c r="H61" s="6"/>
    </row>
    <row r="62" customFormat="false" ht="18" hidden="false" customHeight="true" outlineLevel="0" collapsed="false">
      <c r="A62" s="6" t="n">
        <v>61</v>
      </c>
      <c r="B62" s="7" t="s">
        <v>118</v>
      </c>
      <c r="C62" s="6" t="s">
        <v>114</v>
      </c>
      <c r="D62" s="7" t="s">
        <v>119</v>
      </c>
      <c r="E62" s="7" t="s">
        <v>120</v>
      </c>
      <c r="F62" s="6"/>
      <c r="G62" s="6"/>
      <c r="H62" s="6"/>
    </row>
    <row r="63" customFormat="false" ht="18" hidden="false" customHeight="true" outlineLevel="0" collapsed="false">
      <c r="A63" s="6" t="n">
        <v>62</v>
      </c>
      <c r="B63" s="7" t="s">
        <v>121</v>
      </c>
      <c r="C63" s="6" t="s">
        <v>114</v>
      </c>
      <c r="D63" s="7" t="s">
        <v>119</v>
      </c>
      <c r="E63" s="7" t="s">
        <v>120</v>
      </c>
      <c r="F63" s="6"/>
      <c r="G63" s="6"/>
      <c r="H63" s="6"/>
    </row>
    <row r="64" customFormat="false" ht="18" hidden="false" customHeight="true" outlineLevel="0" collapsed="false">
      <c r="A64" s="6" t="n">
        <v>63</v>
      </c>
      <c r="B64" s="7" t="s">
        <v>122</v>
      </c>
      <c r="C64" s="6" t="s">
        <v>114</v>
      </c>
      <c r="D64" s="7" t="s">
        <v>119</v>
      </c>
      <c r="E64" s="7" t="s">
        <v>120</v>
      </c>
      <c r="F64" s="6"/>
      <c r="G64" s="6"/>
      <c r="H64" s="6"/>
    </row>
    <row r="65" customFormat="false" ht="18" hidden="false" customHeight="true" outlineLevel="0" collapsed="false">
      <c r="A65" s="6" t="n">
        <v>64</v>
      </c>
      <c r="B65" s="7" t="s">
        <v>123</v>
      </c>
      <c r="C65" s="6" t="s">
        <v>114</v>
      </c>
      <c r="D65" s="7" t="s">
        <v>119</v>
      </c>
      <c r="E65" s="7" t="s">
        <v>120</v>
      </c>
      <c r="F65" s="6"/>
      <c r="G65" s="6"/>
      <c r="H65" s="6"/>
    </row>
    <row r="66" customFormat="false" ht="18" hidden="false" customHeight="true" outlineLevel="0" collapsed="false">
      <c r="A66" s="6" t="n">
        <v>65</v>
      </c>
      <c r="B66" s="7" t="s">
        <v>124</v>
      </c>
      <c r="C66" s="6" t="s">
        <v>125</v>
      </c>
      <c r="D66" s="7" t="s">
        <v>119</v>
      </c>
      <c r="E66" s="7" t="s">
        <v>120</v>
      </c>
      <c r="F66" s="6"/>
      <c r="G66" s="6"/>
      <c r="H66" s="6"/>
    </row>
    <row r="67" customFormat="false" ht="18" hidden="false" customHeight="true" outlineLevel="0" collapsed="false">
      <c r="A67" s="6" t="n">
        <v>66</v>
      </c>
      <c r="B67" s="7" t="s">
        <v>126</v>
      </c>
      <c r="C67" s="6" t="s">
        <v>125</v>
      </c>
      <c r="D67" s="7" t="s">
        <v>119</v>
      </c>
      <c r="E67" s="7" t="s">
        <v>120</v>
      </c>
      <c r="F67" s="6"/>
      <c r="G67" s="6"/>
      <c r="H67" s="6"/>
    </row>
    <row r="68" customFormat="false" ht="18" hidden="false" customHeight="true" outlineLevel="0" collapsed="false">
      <c r="A68" s="6" t="n">
        <v>67</v>
      </c>
      <c r="B68" s="7" t="s">
        <v>127</v>
      </c>
      <c r="C68" s="6" t="s">
        <v>125</v>
      </c>
      <c r="D68" s="7" t="s">
        <v>128</v>
      </c>
      <c r="E68" s="7" t="s">
        <v>129</v>
      </c>
      <c r="F68" s="6"/>
      <c r="G68" s="6"/>
      <c r="H68" s="6"/>
    </row>
    <row r="69" customFormat="false" ht="18" hidden="false" customHeight="true" outlineLevel="0" collapsed="false">
      <c r="A69" s="6" t="n">
        <v>68</v>
      </c>
      <c r="B69" s="7" t="s">
        <v>130</v>
      </c>
      <c r="C69" s="6" t="s">
        <v>125</v>
      </c>
      <c r="D69" s="7" t="s">
        <v>128</v>
      </c>
      <c r="E69" s="7" t="s">
        <v>129</v>
      </c>
      <c r="F69" s="6"/>
      <c r="G69" s="6"/>
      <c r="H69" s="6"/>
    </row>
    <row r="70" customFormat="false" ht="18" hidden="false" customHeight="true" outlineLevel="0" collapsed="false">
      <c r="A70" s="6" t="n">
        <v>69</v>
      </c>
      <c r="B70" s="7" t="s">
        <v>131</v>
      </c>
      <c r="C70" s="6" t="s">
        <v>125</v>
      </c>
      <c r="D70" s="7" t="s">
        <v>128</v>
      </c>
      <c r="E70" s="7" t="s">
        <v>129</v>
      </c>
      <c r="F70" s="6"/>
      <c r="G70" s="6"/>
      <c r="H70" s="6"/>
    </row>
    <row r="71" customFormat="false" ht="18" hidden="false" customHeight="true" outlineLevel="0" collapsed="false">
      <c r="A71" s="6" t="n">
        <v>70</v>
      </c>
      <c r="B71" s="7" t="s">
        <v>132</v>
      </c>
      <c r="C71" s="6" t="s">
        <v>125</v>
      </c>
      <c r="D71" s="7" t="s">
        <v>128</v>
      </c>
      <c r="E71" s="7" t="s">
        <v>129</v>
      </c>
      <c r="F71" s="6"/>
      <c r="G71" s="6"/>
      <c r="H71" s="6"/>
    </row>
    <row r="72" customFormat="false" ht="18" hidden="false" customHeight="true" outlineLevel="0" collapsed="false">
      <c r="A72" s="6" t="n">
        <v>71</v>
      </c>
      <c r="B72" s="7" t="s">
        <v>133</v>
      </c>
      <c r="C72" s="6" t="s">
        <v>125</v>
      </c>
      <c r="D72" s="7" t="s">
        <v>128</v>
      </c>
      <c r="E72" s="7" t="s">
        <v>129</v>
      </c>
      <c r="F72" s="6"/>
      <c r="G72" s="6"/>
      <c r="H72" s="6"/>
    </row>
    <row r="73" customFormat="false" ht="18" hidden="false" customHeight="true" outlineLevel="0" collapsed="false">
      <c r="A73" s="6" t="n">
        <v>72</v>
      </c>
      <c r="B73" s="7" t="s">
        <v>134</v>
      </c>
      <c r="C73" s="6" t="s">
        <v>125</v>
      </c>
      <c r="D73" s="7" t="s">
        <v>128</v>
      </c>
      <c r="E73" s="7" t="s">
        <v>129</v>
      </c>
      <c r="F73" s="6"/>
      <c r="G73" s="6"/>
      <c r="H73" s="6"/>
    </row>
    <row r="74" customFormat="false" ht="18" hidden="false" customHeight="true" outlineLevel="0" collapsed="false">
      <c r="A74" s="6" t="n">
        <v>73</v>
      </c>
      <c r="B74" s="6" t="s">
        <v>135</v>
      </c>
      <c r="C74" s="6" t="s">
        <v>136</v>
      </c>
      <c r="D74" s="7" t="s">
        <v>137</v>
      </c>
      <c r="E74" s="7" t="s">
        <v>137</v>
      </c>
      <c r="F74" s="6"/>
      <c r="G74" s="6"/>
      <c r="H74" s="6"/>
    </row>
    <row r="75" customFormat="false" ht="18" hidden="false" customHeight="true" outlineLevel="0" collapsed="false">
      <c r="A75" s="6" t="n">
        <v>74</v>
      </c>
      <c r="B75" s="6" t="s">
        <v>138</v>
      </c>
      <c r="C75" s="6" t="s">
        <v>136</v>
      </c>
      <c r="D75" s="7" t="s">
        <v>137</v>
      </c>
      <c r="E75" s="7" t="s">
        <v>137</v>
      </c>
      <c r="F75" s="6"/>
      <c r="G75" s="6"/>
      <c r="H75" s="6"/>
    </row>
    <row r="76" customFormat="false" ht="18" hidden="false" customHeight="true" outlineLevel="0" collapsed="false">
      <c r="A76" s="6" t="n">
        <v>75</v>
      </c>
      <c r="B76" s="6" t="s">
        <v>139</v>
      </c>
      <c r="C76" s="6" t="s">
        <v>140</v>
      </c>
      <c r="D76" s="7" t="s">
        <v>137</v>
      </c>
      <c r="E76" s="7" t="s">
        <v>137</v>
      </c>
      <c r="F76" s="6"/>
      <c r="G76" s="6"/>
      <c r="H76" s="6"/>
    </row>
    <row r="77" customFormat="false" ht="18" hidden="false" customHeight="true" outlineLevel="0" collapsed="false">
      <c r="A77" s="6" t="n">
        <v>76</v>
      </c>
      <c r="B77" s="6" t="s">
        <v>141</v>
      </c>
      <c r="C77" s="6" t="s">
        <v>140</v>
      </c>
      <c r="D77" s="7" t="s">
        <v>137</v>
      </c>
      <c r="E77" s="7" t="s">
        <v>137</v>
      </c>
      <c r="F77" s="6"/>
      <c r="G77" s="6"/>
      <c r="H77" s="6"/>
    </row>
    <row r="78" customFormat="false" ht="18" hidden="false" customHeight="true" outlineLevel="0" collapsed="false">
      <c r="A78" s="6" t="n">
        <v>77</v>
      </c>
      <c r="B78" s="6" t="s">
        <v>142</v>
      </c>
      <c r="C78" s="6" t="s">
        <v>143</v>
      </c>
      <c r="D78" s="7" t="s">
        <v>137</v>
      </c>
      <c r="E78" s="7" t="s">
        <v>137</v>
      </c>
      <c r="F78" s="6"/>
      <c r="G78" s="6"/>
      <c r="H78" s="6"/>
    </row>
    <row r="79" customFormat="false" ht="18" hidden="false" customHeight="true" outlineLevel="0" collapsed="false">
      <c r="A79" s="6" t="n">
        <v>78</v>
      </c>
      <c r="B79" s="6" t="s">
        <v>144</v>
      </c>
      <c r="C79" s="6" t="s">
        <v>143</v>
      </c>
      <c r="D79" s="7" t="s">
        <v>137</v>
      </c>
      <c r="E79" s="7" t="s">
        <v>137</v>
      </c>
      <c r="F79" s="6"/>
      <c r="G79" s="6"/>
      <c r="H79" s="6"/>
    </row>
    <row r="80" customFormat="false" ht="18" hidden="false" customHeight="true" outlineLevel="0" collapsed="false">
      <c r="A80" s="6" t="n">
        <v>79</v>
      </c>
      <c r="B80" s="6" t="s">
        <v>145</v>
      </c>
      <c r="C80" s="6" t="s">
        <v>146</v>
      </c>
      <c r="D80" s="7" t="s">
        <v>137</v>
      </c>
      <c r="E80" s="7" t="s">
        <v>137</v>
      </c>
      <c r="F80" s="6"/>
      <c r="G80" s="6"/>
      <c r="H80" s="6"/>
    </row>
    <row r="81" customFormat="false" ht="18" hidden="false" customHeight="true" outlineLevel="0" collapsed="false">
      <c r="A81" s="6" t="n">
        <v>80</v>
      </c>
      <c r="B81" s="6" t="s">
        <v>147</v>
      </c>
      <c r="C81" s="6" t="s">
        <v>146</v>
      </c>
      <c r="D81" s="7" t="s">
        <v>137</v>
      </c>
      <c r="E81" s="7" t="s">
        <v>137</v>
      </c>
      <c r="F81" s="6"/>
      <c r="G81" s="6"/>
      <c r="H81" s="6"/>
    </row>
    <row r="82" customFormat="false" ht="18" hidden="false" customHeight="true" outlineLevel="0" collapsed="false">
      <c r="A82" s="6" t="n">
        <v>81</v>
      </c>
      <c r="B82" s="6" t="s">
        <v>148</v>
      </c>
      <c r="C82" s="6" t="s">
        <v>149</v>
      </c>
      <c r="D82" s="7" t="s">
        <v>137</v>
      </c>
      <c r="E82" s="7" t="s">
        <v>137</v>
      </c>
      <c r="F82" s="6"/>
      <c r="G82" s="6"/>
      <c r="H82" s="6"/>
    </row>
    <row r="83" customFormat="false" ht="18" hidden="false" customHeight="true" outlineLevel="0" collapsed="false">
      <c r="A83" s="6" t="n">
        <v>82</v>
      </c>
      <c r="B83" s="6" t="s">
        <v>150</v>
      </c>
      <c r="C83" s="6" t="s">
        <v>149</v>
      </c>
      <c r="D83" s="7" t="s">
        <v>137</v>
      </c>
      <c r="E83" s="7" t="s">
        <v>137</v>
      </c>
      <c r="F83" s="6"/>
      <c r="G83" s="6"/>
      <c r="H83" s="6"/>
    </row>
    <row r="84" customFormat="false" ht="18" hidden="false" customHeight="true" outlineLevel="0" collapsed="false">
      <c r="A84" s="6" t="n">
        <v>83</v>
      </c>
      <c r="B84" s="6" t="s">
        <v>151</v>
      </c>
      <c r="C84" s="6" t="s">
        <v>152</v>
      </c>
      <c r="D84" s="7" t="s">
        <v>137</v>
      </c>
      <c r="E84" s="7" t="s">
        <v>137</v>
      </c>
      <c r="F84" s="6"/>
      <c r="G84" s="6"/>
      <c r="H84" s="6"/>
    </row>
    <row r="85" customFormat="false" ht="18" hidden="false" customHeight="true" outlineLevel="0" collapsed="false">
      <c r="A85" s="6" t="n">
        <v>84</v>
      </c>
      <c r="B85" s="6" t="s">
        <v>153</v>
      </c>
      <c r="C85" s="6" t="s">
        <v>152</v>
      </c>
      <c r="D85" s="7" t="s">
        <v>137</v>
      </c>
      <c r="E85" s="7" t="s">
        <v>137</v>
      </c>
      <c r="F85" s="6"/>
      <c r="G85" s="6"/>
      <c r="H85" s="6"/>
    </row>
    <row r="86" customFormat="false" ht="18" hidden="false" customHeight="true" outlineLevel="0" collapsed="false">
      <c r="A86" s="6" t="n">
        <v>85</v>
      </c>
      <c r="B86" s="6" t="s">
        <v>154</v>
      </c>
      <c r="C86" s="6" t="s">
        <v>155</v>
      </c>
      <c r="D86" s="7" t="s">
        <v>137</v>
      </c>
      <c r="E86" s="7" t="s">
        <v>137</v>
      </c>
      <c r="F86" s="6"/>
      <c r="G86" s="6"/>
      <c r="H86" s="6"/>
    </row>
    <row r="87" customFormat="false" ht="18" hidden="false" customHeight="true" outlineLevel="0" collapsed="false">
      <c r="A87" s="6" t="n">
        <v>86</v>
      </c>
      <c r="B87" s="6" t="s">
        <v>156</v>
      </c>
      <c r="C87" s="6" t="s">
        <v>155</v>
      </c>
      <c r="D87" s="7" t="s">
        <v>137</v>
      </c>
      <c r="E87" s="7" t="s">
        <v>137</v>
      </c>
      <c r="F87" s="6"/>
      <c r="G87" s="6"/>
      <c r="H87" s="6"/>
    </row>
    <row r="88" customFormat="false" ht="18" hidden="false" customHeight="true" outlineLevel="0" collapsed="false">
      <c r="A88" s="6" t="n">
        <v>87</v>
      </c>
      <c r="B88" s="6" t="s">
        <v>157</v>
      </c>
      <c r="C88" s="6" t="s">
        <v>158</v>
      </c>
      <c r="D88" s="7" t="s">
        <v>137</v>
      </c>
      <c r="E88" s="7" t="s">
        <v>137</v>
      </c>
      <c r="F88" s="6"/>
      <c r="G88" s="6"/>
      <c r="H88" s="6"/>
    </row>
    <row r="89" customFormat="false" ht="18" hidden="false" customHeight="true" outlineLevel="0" collapsed="false">
      <c r="A89" s="6" t="n">
        <v>88</v>
      </c>
      <c r="B89" s="6" t="s">
        <v>159</v>
      </c>
      <c r="C89" s="6" t="s">
        <v>158</v>
      </c>
      <c r="D89" s="7" t="s">
        <v>137</v>
      </c>
      <c r="E89" s="7" t="s">
        <v>137</v>
      </c>
      <c r="F89" s="6"/>
      <c r="G89" s="6"/>
      <c r="H89" s="6"/>
    </row>
    <row r="90" customFormat="false" ht="18" hidden="false" customHeight="true" outlineLevel="0" collapsed="false">
      <c r="A90" s="6" t="n">
        <v>89</v>
      </c>
      <c r="B90" s="6" t="s">
        <v>160</v>
      </c>
      <c r="C90" s="6" t="s">
        <v>161</v>
      </c>
      <c r="D90" s="7" t="s">
        <v>137</v>
      </c>
      <c r="E90" s="7" t="s">
        <v>137</v>
      </c>
      <c r="F90" s="6"/>
      <c r="G90" s="6"/>
      <c r="H90" s="6"/>
    </row>
    <row r="91" customFormat="false" ht="18" hidden="false" customHeight="true" outlineLevel="0" collapsed="false">
      <c r="A91" s="6" t="n">
        <v>90</v>
      </c>
      <c r="B91" s="6" t="s">
        <v>162</v>
      </c>
      <c r="C91" s="6" t="s">
        <v>161</v>
      </c>
      <c r="D91" s="7" t="s">
        <v>137</v>
      </c>
      <c r="E91" s="7" t="s">
        <v>137</v>
      </c>
      <c r="F91" s="6"/>
      <c r="G91" s="6"/>
      <c r="H91" s="6"/>
    </row>
    <row r="92" customFormat="false" ht="18" hidden="false" customHeight="true" outlineLevel="0" collapsed="false">
      <c r="A92" s="6" t="n">
        <v>91</v>
      </c>
      <c r="B92" s="6" t="s">
        <v>163</v>
      </c>
      <c r="C92" s="6" t="s">
        <v>164</v>
      </c>
      <c r="D92" s="7" t="s">
        <v>137</v>
      </c>
      <c r="E92" s="7" t="s">
        <v>137</v>
      </c>
      <c r="F92" s="6"/>
      <c r="G92" s="6"/>
      <c r="H92" s="6"/>
    </row>
    <row r="93" customFormat="false" ht="18" hidden="false" customHeight="true" outlineLevel="0" collapsed="false">
      <c r="A93" s="6" t="n">
        <v>92</v>
      </c>
      <c r="B93" s="6" t="s">
        <v>165</v>
      </c>
      <c r="C93" s="6" t="s">
        <v>164</v>
      </c>
      <c r="D93" s="7" t="s">
        <v>137</v>
      </c>
      <c r="E93" s="7" t="s">
        <v>137</v>
      </c>
      <c r="F93" s="6"/>
      <c r="G93" s="6"/>
      <c r="H93" s="6"/>
    </row>
    <row r="94" customFormat="false" ht="18" hidden="false" customHeight="true" outlineLevel="0" collapsed="false">
      <c r="A94" s="6" t="n">
        <v>93</v>
      </c>
      <c r="B94" s="6" t="s">
        <v>166</v>
      </c>
      <c r="C94" s="6" t="s">
        <v>167</v>
      </c>
      <c r="D94" s="7" t="s">
        <v>137</v>
      </c>
      <c r="E94" s="7" t="s">
        <v>137</v>
      </c>
      <c r="F94" s="6"/>
      <c r="G94" s="6"/>
      <c r="H94" s="6"/>
    </row>
    <row r="95" customFormat="false" ht="18" hidden="false" customHeight="true" outlineLevel="0" collapsed="false">
      <c r="A95" s="6" t="n">
        <v>94</v>
      </c>
      <c r="B95" s="6" t="s">
        <v>168</v>
      </c>
      <c r="C95" s="6" t="s">
        <v>169</v>
      </c>
      <c r="D95" s="7" t="s">
        <v>137</v>
      </c>
      <c r="E95" s="7" t="s">
        <v>137</v>
      </c>
      <c r="F95" s="6"/>
      <c r="G95" s="6"/>
      <c r="H95" s="6"/>
    </row>
    <row r="96" customFormat="false" ht="18" hidden="false" customHeight="true" outlineLevel="0" collapsed="false">
      <c r="A96" s="6" t="n">
        <v>95</v>
      </c>
      <c r="B96" s="6" t="s">
        <v>170</v>
      </c>
      <c r="C96" s="6" t="s">
        <v>171</v>
      </c>
      <c r="D96" s="7" t="s">
        <v>137</v>
      </c>
      <c r="E96" s="7" t="s">
        <v>137</v>
      </c>
      <c r="F96" s="6"/>
      <c r="G96" s="6"/>
      <c r="H96" s="6"/>
    </row>
    <row r="97" customFormat="false" ht="18" hidden="false" customHeight="true" outlineLevel="0" collapsed="false">
      <c r="A97" s="6" t="n">
        <v>96</v>
      </c>
      <c r="B97" s="6" t="s">
        <v>172</v>
      </c>
      <c r="C97" s="6" t="s">
        <v>173</v>
      </c>
      <c r="D97" s="7" t="s">
        <v>137</v>
      </c>
      <c r="E97" s="7" t="s">
        <v>137</v>
      </c>
      <c r="F97" s="6"/>
      <c r="G97" s="6"/>
      <c r="H9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2"/>
    <col collapsed="false" customWidth="true" hidden="false" outlineLevel="0" max="6" min="5" style="0" width="12"/>
    <col collapsed="false" customWidth="true" hidden="false" outlineLevel="0" max="9" min="8" style="0" width="12"/>
    <col collapsed="false" customWidth="true" hidden="false" outlineLevel="0" max="12" min="11" style="0" width="12"/>
    <col collapsed="false" customWidth="true" hidden="false" outlineLevel="0" max="15" min="14" style="0" width="12"/>
    <col collapsed="false" customWidth="true" hidden="false" outlineLevel="0" max="18" min="17" style="0" width="12"/>
    <col collapsed="false" customWidth="true" hidden="false" outlineLevel="0" max="21" min="20" style="0" width="12"/>
    <col collapsed="false" customWidth="true" hidden="false" outlineLevel="0" max="24" min="23" style="0" width="12"/>
    <col collapsed="false" customWidth="true" hidden="false" outlineLevel="0" max="27" min="26" style="0" width="12"/>
    <col collapsed="false" customWidth="true" hidden="false" outlineLevel="0" max="30" min="29" style="0" width="12"/>
    <col collapsed="false" customWidth="true" hidden="false" outlineLevel="0" max="33" min="32" style="0" width="12"/>
    <col collapsed="false" customWidth="true" hidden="false" outlineLevel="0" max="36" min="35" style="0" width="12"/>
    <col collapsed="false" customWidth="true" hidden="false" outlineLevel="0" max="39" min="38" style="0" width="12"/>
    <col collapsed="false" customWidth="true" hidden="false" outlineLevel="0" max="42" min="41" style="0" width="12"/>
    <col collapsed="false" customWidth="true" hidden="false" outlineLevel="0" max="45" min="44" style="0" width="12"/>
    <col collapsed="false" customWidth="true" hidden="false" outlineLevel="0" max="48" min="47" style="0" width="12"/>
    <col collapsed="false" customWidth="true" hidden="false" outlineLevel="0" max="51" min="50" style="0" width="12"/>
    <col collapsed="false" customWidth="true" hidden="false" outlineLevel="0" max="54" min="53" style="0" width="12"/>
    <col collapsed="false" customWidth="true" hidden="false" outlineLevel="0" max="57" min="56" style="0" width="12"/>
    <col collapsed="false" customWidth="true" hidden="false" outlineLevel="0" max="60" min="59" style="0" width="12"/>
  </cols>
  <sheetData>
    <row r="1" customFormat="false" ht="30" hidden="false" customHeight="true" outlineLevel="0" collapsed="false">
      <c r="A1" s="5" t="s">
        <v>174</v>
      </c>
      <c r="B1" s="5" t="s">
        <v>175</v>
      </c>
      <c r="C1" s="5" t="s">
        <v>176</v>
      </c>
      <c r="E1" s="5" t="s">
        <v>177</v>
      </c>
      <c r="F1" s="5" t="s">
        <v>178</v>
      </c>
      <c r="H1" s="5" t="s">
        <v>179</v>
      </c>
      <c r="I1" s="5" t="s">
        <v>180</v>
      </c>
      <c r="K1" s="5" t="s">
        <v>181</v>
      </c>
      <c r="L1" s="5" t="s">
        <v>182</v>
      </c>
      <c r="N1" s="5" t="s">
        <v>183</v>
      </c>
      <c r="O1" s="5" t="s">
        <v>184</v>
      </c>
      <c r="Q1" s="5" t="s">
        <v>185</v>
      </c>
      <c r="R1" s="5" t="s">
        <v>186</v>
      </c>
      <c r="T1" s="5" t="s">
        <v>187</v>
      </c>
      <c r="U1" s="5" t="s">
        <v>188</v>
      </c>
      <c r="W1" s="5" t="s">
        <v>189</v>
      </c>
      <c r="X1" s="5" t="s">
        <v>190</v>
      </c>
      <c r="Z1" s="5" t="s">
        <v>191</v>
      </c>
      <c r="AA1" s="5" t="s">
        <v>192</v>
      </c>
      <c r="AC1" s="5" t="s">
        <v>193</v>
      </c>
      <c r="AD1" s="5" t="s">
        <v>194</v>
      </c>
      <c r="AF1" s="5" t="s">
        <v>195</v>
      </c>
      <c r="AG1" s="5" t="s">
        <v>196</v>
      </c>
      <c r="AI1" s="5" t="s">
        <v>197</v>
      </c>
      <c r="AJ1" s="5" t="s">
        <v>198</v>
      </c>
      <c r="AL1" s="5" t="s">
        <v>199</v>
      </c>
      <c r="AM1" s="5" t="s">
        <v>200</v>
      </c>
      <c r="AO1" s="5" t="s">
        <v>201</v>
      </c>
      <c r="AP1" s="5" t="s">
        <v>202</v>
      </c>
      <c r="AR1" s="5" t="s">
        <v>203</v>
      </c>
      <c r="AS1" s="5" t="s">
        <v>204</v>
      </c>
      <c r="AU1" s="5" t="s">
        <v>205</v>
      </c>
      <c r="AV1" s="5" t="s">
        <v>206</v>
      </c>
      <c r="AX1" s="5" t="s">
        <v>207</v>
      </c>
      <c r="AY1" s="5" t="s">
        <v>208</v>
      </c>
      <c r="BA1" s="5" t="s">
        <v>209</v>
      </c>
      <c r="BB1" s="5" t="s">
        <v>210</v>
      </c>
      <c r="BD1" s="5" t="s">
        <v>211</v>
      </c>
      <c r="BE1" s="5" t="s">
        <v>212</v>
      </c>
      <c r="BG1" s="5" t="s">
        <v>213</v>
      </c>
      <c r="BH1" s="5" t="s">
        <v>214</v>
      </c>
    </row>
    <row r="2" customFormat="false" ht="19.5" hidden="false" customHeight="true" outlineLevel="0" collapsed="false">
      <c r="A2" s="8" t="s">
        <v>215</v>
      </c>
      <c r="B2" s="9" t="n">
        <v>0</v>
      </c>
      <c r="C2" s="9" t="n">
        <v>4</v>
      </c>
      <c r="E2" s="9" t="n">
        <v>0</v>
      </c>
      <c r="F2" s="9" t="n">
        <v>3</v>
      </c>
      <c r="H2" s="9" t="n">
        <v>1</v>
      </c>
      <c r="I2" s="9" t="n">
        <v>3</v>
      </c>
      <c r="K2" s="9" t="n">
        <v>2</v>
      </c>
      <c r="L2" s="9" t="n">
        <v>0</v>
      </c>
      <c r="N2" s="9" t="n">
        <v>1</v>
      </c>
      <c r="O2" s="9" t="n">
        <v>4</v>
      </c>
      <c r="Q2" s="9" t="n">
        <v>1</v>
      </c>
      <c r="R2" s="9" t="n">
        <v>1</v>
      </c>
      <c r="T2" s="9" t="n">
        <v>2</v>
      </c>
      <c r="U2" s="9" t="n">
        <v>2</v>
      </c>
      <c r="W2" s="9" t="n">
        <v>2</v>
      </c>
      <c r="X2" s="9" t="n">
        <v>2</v>
      </c>
      <c r="Z2" s="9" t="n">
        <v>3</v>
      </c>
      <c r="AA2" s="9" t="n">
        <v>2</v>
      </c>
      <c r="AC2" s="9" t="n">
        <v>1</v>
      </c>
      <c r="AD2" s="9" t="n">
        <v>4</v>
      </c>
      <c r="AF2" s="9" t="n">
        <v>4</v>
      </c>
      <c r="AG2" s="9" t="n">
        <v>3</v>
      </c>
      <c r="AI2" s="9" t="n">
        <v>3</v>
      </c>
      <c r="AJ2" s="9" t="n">
        <v>3</v>
      </c>
      <c r="AL2" s="9" t="n">
        <v>2</v>
      </c>
      <c r="AM2" s="9" t="n">
        <v>3</v>
      </c>
      <c r="AO2" s="9" t="n">
        <v>2</v>
      </c>
      <c r="AP2" s="9" t="n">
        <v>0</v>
      </c>
      <c r="AR2" s="9" t="n">
        <v>2</v>
      </c>
      <c r="AS2" s="9" t="n">
        <v>4</v>
      </c>
      <c r="AU2" s="9" t="n">
        <v>3</v>
      </c>
      <c r="AV2" s="9" t="n">
        <v>4</v>
      </c>
      <c r="AX2" s="9" t="n">
        <v>3</v>
      </c>
      <c r="AY2" s="9" t="n">
        <v>4</v>
      </c>
      <c r="BA2" s="9" t="n">
        <v>0</v>
      </c>
      <c r="BB2" s="9" t="n">
        <v>1</v>
      </c>
      <c r="BD2" s="9" t="n">
        <v>2</v>
      </c>
      <c r="BE2" s="9" t="n">
        <v>3</v>
      </c>
      <c r="BG2" s="9" t="n">
        <v>4</v>
      </c>
      <c r="BH2" s="9" t="n">
        <v>3</v>
      </c>
    </row>
    <row r="3" customFormat="false" ht="19.5" hidden="false" customHeight="true" outlineLevel="0" collapsed="false">
      <c r="A3" s="8" t="s">
        <v>216</v>
      </c>
      <c r="B3" s="9" t="n">
        <v>2</v>
      </c>
      <c r="C3" s="9" t="n">
        <v>3</v>
      </c>
      <c r="E3" s="9" t="n">
        <v>1</v>
      </c>
      <c r="F3" s="9" t="n">
        <v>0</v>
      </c>
      <c r="H3" s="9" t="n">
        <v>3</v>
      </c>
      <c r="I3" s="9" t="n">
        <v>0</v>
      </c>
      <c r="K3" s="9" t="n">
        <v>3</v>
      </c>
      <c r="L3" s="9" t="n">
        <v>3</v>
      </c>
      <c r="N3" s="9" t="n">
        <v>1</v>
      </c>
      <c r="O3" s="9" t="n">
        <v>4</v>
      </c>
      <c r="Q3" s="9" t="n">
        <v>4</v>
      </c>
      <c r="R3" s="9" t="n">
        <v>1</v>
      </c>
      <c r="T3" s="9" t="n">
        <v>3</v>
      </c>
      <c r="U3" s="9" t="n">
        <v>2</v>
      </c>
      <c r="W3" s="9" t="n">
        <v>1</v>
      </c>
      <c r="X3" s="9" t="n">
        <v>1</v>
      </c>
      <c r="Z3" s="9" t="n">
        <v>1</v>
      </c>
      <c r="AA3" s="9" t="n">
        <v>1</v>
      </c>
      <c r="AC3" s="9" t="n">
        <v>1</v>
      </c>
      <c r="AD3" s="9" t="n">
        <v>4</v>
      </c>
      <c r="AF3" s="9" t="n">
        <v>4</v>
      </c>
      <c r="AG3" s="9" t="n">
        <v>4</v>
      </c>
      <c r="AI3" s="9" t="n">
        <v>4</v>
      </c>
      <c r="AJ3" s="9" t="n">
        <v>0</v>
      </c>
      <c r="AL3" s="9" t="n">
        <v>0</v>
      </c>
      <c r="AM3" s="9" t="n">
        <v>2</v>
      </c>
      <c r="AO3" s="9" t="n">
        <v>3</v>
      </c>
      <c r="AP3" s="9" t="n">
        <v>1</v>
      </c>
      <c r="AR3" s="9" t="n">
        <v>2</v>
      </c>
      <c r="AS3" s="9" t="n">
        <v>3</v>
      </c>
      <c r="AU3" s="9" t="n">
        <v>1</v>
      </c>
      <c r="AV3" s="9" t="n">
        <v>0</v>
      </c>
      <c r="AX3" s="9" t="n">
        <v>3</v>
      </c>
      <c r="AY3" s="9" t="n">
        <v>2</v>
      </c>
      <c r="BA3" s="9" t="n">
        <v>4</v>
      </c>
      <c r="BB3" s="9" t="n">
        <v>2</v>
      </c>
      <c r="BD3" s="9" t="n">
        <v>2</v>
      </c>
      <c r="BE3" s="9" t="n">
        <v>2</v>
      </c>
      <c r="BG3" s="9" t="n">
        <v>0</v>
      </c>
      <c r="BH3" s="9" t="n">
        <v>4</v>
      </c>
    </row>
    <row r="4" customFormat="false" ht="19.5" hidden="false" customHeight="true" outlineLevel="0" collapsed="false">
      <c r="A4" s="8" t="s">
        <v>217</v>
      </c>
      <c r="B4" s="9" t="n">
        <v>4</v>
      </c>
      <c r="C4" s="9" t="n">
        <v>1</v>
      </c>
      <c r="E4" s="9" t="n">
        <v>2</v>
      </c>
      <c r="F4" s="9" t="n">
        <v>4</v>
      </c>
      <c r="H4" s="9" t="n">
        <v>0</v>
      </c>
      <c r="I4" s="9" t="n">
        <v>1</v>
      </c>
      <c r="K4" s="9" t="n">
        <v>0</v>
      </c>
      <c r="L4" s="9" t="n">
        <v>0</v>
      </c>
      <c r="N4" s="9" t="n">
        <v>2</v>
      </c>
      <c r="O4" s="9" t="n">
        <v>2</v>
      </c>
      <c r="Q4" s="9" t="n">
        <v>2</v>
      </c>
      <c r="R4" s="9" t="n">
        <v>1</v>
      </c>
      <c r="T4" s="9" t="n">
        <v>2</v>
      </c>
      <c r="U4" s="9" t="n">
        <v>0</v>
      </c>
      <c r="W4" s="9" t="n">
        <v>1</v>
      </c>
      <c r="X4" s="9" t="n">
        <v>4</v>
      </c>
      <c r="Z4" s="9" t="n">
        <v>4</v>
      </c>
      <c r="AA4" s="9" t="n">
        <v>4</v>
      </c>
      <c r="AC4" s="9" t="n">
        <v>4</v>
      </c>
      <c r="AD4" s="9" t="n">
        <v>2</v>
      </c>
      <c r="AF4" s="9" t="n">
        <v>0</v>
      </c>
      <c r="AG4" s="9" t="n">
        <v>1</v>
      </c>
      <c r="AI4" s="9" t="n">
        <v>2</v>
      </c>
      <c r="AJ4" s="9" t="n">
        <v>1</v>
      </c>
      <c r="AL4" s="9" t="n">
        <v>0</v>
      </c>
      <c r="AM4" s="9" t="n">
        <v>3</v>
      </c>
      <c r="AO4" s="9" t="n">
        <v>3</v>
      </c>
      <c r="AP4" s="9" t="n">
        <v>4</v>
      </c>
      <c r="AR4" s="9" t="n">
        <v>2</v>
      </c>
      <c r="AS4" s="9" t="n">
        <v>3</v>
      </c>
      <c r="AU4" s="9" t="n">
        <v>2</v>
      </c>
      <c r="AV4" s="9" t="n">
        <v>4</v>
      </c>
      <c r="AX4" s="9" t="n">
        <v>3</v>
      </c>
      <c r="AY4" s="9" t="n">
        <v>0</v>
      </c>
      <c r="BA4" s="9" t="n">
        <v>4</v>
      </c>
      <c r="BB4" s="9" t="n">
        <v>3</v>
      </c>
      <c r="BD4" s="9" t="n">
        <v>2</v>
      </c>
      <c r="BE4" s="9" t="n">
        <v>2</v>
      </c>
      <c r="BG4" s="9" t="n">
        <v>4</v>
      </c>
      <c r="BH4" s="9" t="n">
        <v>4</v>
      </c>
    </row>
    <row r="5" customFormat="false" ht="19.5" hidden="false" customHeight="true" outlineLevel="0" collapsed="false">
      <c r="A5" s="8" t="s">
        <v>218</v>
      </c>
      <c r="B5" s="9" t="n">
        <v>1</v>
      </c>
      <c r="C5" s="9" t="n">
        <v>4</v>
      </c>
      <c r="E5" s="9" t="n">
        <v>0</v>
      </c>
      <c r="F5" s="9" t="n">
        <v>3</v>
      </c>
      <c r="H5" s="9" t="n">
        <v>4</v>
      </c>
      <c r="I5" s="9" t="n">
        <v>3</v>
      </c>
      <c r="K5" s="9" t="n">
        <v>3</v>
      </c>
      <c r="L5" s="9" t="n">
        <v>3</v>
      </c>
      <c r="N5" s="9" t="n">
        <v>4</v>
      </c>
      <c r="O5" s="9" t="n">
        <v>1</v>
      </c>
      <c r="Q5" s="9" t="n">
        <v>3</v>
      </c>
      <c r="R5" s="9" t="n">
        <v>3</v>
      </c>
      <c r="T5" s="9" t="n">
        <v>3</v>
      </c>
      <c r="U5" s="9" t="n">
        <v>3</v>
      </c>
      <c r="W5" s="9" t="n">
        <v>1</v>
      </c>
      <c r="X5" s="9" t="n">
        <v>0</v>
      </c>
      <c r="Z5" s="9" t="n">
        <v>4</v>
      </c>
      <c r="AA5" s="9" t="n">
        <v>1</v>
      </c>
      <c r="AC5" s="9" t="n">
        <v>3</v>
      </c>
      <c r="AD5" s="9" t="n">
        <v>2</v>
      </c>
      <c r="AF5" s="9" t="n">
        <v>2</v>
      </c>
      <c r="AG5" s="9" t="n">
        <v>3</v>
      </c>
      <c r="AI5" s="9" t="n">
        <v>2</v>
      </c>
      <c r="AJ5" s="9" t="n">
        <v>3</v>
      </c>
      <c r="AL5" s="9" t="n">
        <v>1</v>
      </c>
      <c r="AM5" s="9" t="n">
        <v>1</v>
      </c>
      <c r="AO5" s="9" t="n">
        <v>3</v>
      </c>
      <c r="AP5" s="9" t="n">
        <v>0</v>
      </c>
      <c r="AR5" s="9" t="n">
        <v>1</v>
      </c>
      <c r="AS5" s="9" t="n">
        <v>3</v>
      </c>
      <c r="AU5" s="9" t="n">
        <v>0</v>
      </c>
      <c r="AV5" s="9" t="n">
        <v>0</v>
      </c>
      <c r="AX5" s="9" t="n">
        <v>4</v>
      </c>
      <c r="AY5" s="9" t="n">
        <v>1</v>
      </c>
      <c r="BA5" s="9" t="n">
        <v>1</v>
      </c>
      <c r="BB5" s="9" t="n">
        <v>2</v>
      </c>
      <c r="BD5" s="9" t="n">
        <v>3</v>
      </c>
      <c r="BE5" s="9" t="n">
        <v>3</v>
      </c>
      <c r="BG5" s="9" t="n">
        <v>3</v>
      </c>
      <c r="BH5" s="9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105" min="2" style="0" width="10"/>
  </cols>
  <sheetData>
    <row r="1" customFormat="false" ht="30" hidden="false" customHeight="true" outlineLevel="0" collapsed="false">
      <c r="A1" s="5" t="s">
        <v>174</v>
      </c>
      <c r="B1" s="5" t="s">
        <v>219</v>
      </c>
      <c r="C1" s="5" t="s">
        <v>220</v>
      </c>
      <c r="D1" s="5" t="s">
        <v>221</v>
      </c>
      <c r="E1" s="5" t="s">
        <v>222</v>
      </c>
      <c r="F1" s="5" t="s">
        <v>223</v>
      </c>
      <c r="G1" s="5" t="s">
        <v>224</v>
      </c>
      <c r="H1" s="5" t="s">
        <v>225</v>
      </c>
      <c r="I1" s="5" t="s">
        <v>226</v>
      </c>
      <c r="J1" s="5" t="s">
        <v>227</v>
      </c>
      <c r="K1" s="5" t="s">
        <v>228</v>
      </c>
      <c r="L1" s="5" t="s">
        <v>229</v>
      </c>
      <c r="M1" s="5" t="s">
        <v>230</v>
      </c>
      <c r="N1" s="5" t="s">
        <v>231</v>
      </c>
      <c r="O1" s="5" t="s">
        <v>232</v>
      </c>
      <c r="P1" s="5" t="s">
        <v>233</v>
      </c>
      <c r="Q1" s="5" t="s">
        <v>234</v>
      </c>
      <c r="R1" s="5" t="s">
        <v>235</v>
      </c>
      <c r="S1" s="5" t="s">
        <v>236</v>
      </c>
      <c r="T1" s="5" t="s">
        <v>237</v>
      </c>
      <c r="U1" s="5" t="s">
        <v>238</v>
      </c>
      <c r="V1" s="5" t="s">
        <v>239</v>
      </c>
      <c r="W1" s="5" t="s">
        <v>240</v>
      </c>
      <c r="X1" s="5" t="s">
        <v>241</v>
      </c>
      <c r="Y1" s="5" t="s">
        <v>242</v>
      </c>
      <c r="Z1" s="5" t="s">
        <v>243</v>
      </c>
      <c r="AA1" s="5" t="s">
        <v>244</v>
      </c>
      <c r="AB1" s="5" t="s">
        <v>245</v>
      </c>
      <c r="AC1" s="5" t="s">
        <v>246</v>
      </c>
      <c r="AD1" s="5" t="s">
        <v>247</v>
      </c>
      <c r="AE1" s="5" t="s">
        <v>248</v>
      </c>
      <c r="AF1" s="5" t="s">
        <v>249</v>
      </c>
      <c r="AG1" s="5" t="s">
        <v>250</v>
      </c>
      <c r="AH1" s="5" t="s">
        <v>251</v>
      </c>
      <c r="AI1" s="5" t="s">
        <v>252</v>
      </c>
      <c r="AJ1" s="5" t="s">
        <v>253</v>
      </c>
      <c r="AK1" s="5" t="s">
        <v>254</v>
      </c>
      <c r="AL1" s="5" t="s">
        <v>255</v>
      </c>
      <c r="AM1" s="5" t="s">
        <v>256</v>
      </c>
      <c r="AN1" s="5" t="s">
        <v>257</v>
      </c>
      <c r="AO1" s="5" t="s">
        <v>258</v>
      </c>
      <c r="AP1" s="5" t="s">
        <v>259</v>
      </c>
      <c r="AQ1" s="5" t="s">
        <v>260</v>
      </c>
      <c r="AR1" s="5" t="s">
        <v>261</v>
      </c>
      <c r="AS1" s="5" t="s">
        <v>262</v>
      </c>
      <c r="AT1" s="5" t="s">
        <v>263</v>
      </c>
      <c r="AU1" s="5" t="s">
        <v>264</v>
      </c>
      <c r="AV1" s="5" t="s">
        <v>265</v>
      </c>
      <c r="AW1" s="5" t="s">
        <v>266</v>
      </c>
      <c r="AX1" s="5" t="s">
        <v>267</v>
      </c>
      <c r="AY1" s="5" t="s">
        <v>268</v>
      </c>
      <c r="AZ1" s="5" t="s">
        <v>269</v>
      </c>
      <c r="BA1" s="5" t="s">
        <v>270</v>
      </c>
      <c r="BB1" s="5" t="s">
        <v>271</v>
      </c>
      <c r="BC1" s="5" t="s">
        <v>272</v>
      </c>
      <c r="BD1" s="5" t="s">
        <v>273</v>
      </c>
      <c r="BE1" s="5" t="s">
        <v>274</v>
      </c>
      <c r="BF1" s="5" t="s">
        <v>275</v>
      </c>
      <c r="BG1" s="5" t="s">
        <v>276</v>
      </c>
      <c r="BH1" s="5" t="s">
        <v>277</v>
      </c>
      <c r="BI1" s="5" t="s">
        <v>278</v>
      </c>
      <c r="BJ1" s="5" t="s">
        <v>279</v>
      </c>
      <c r="BK1" s="5" t="s">
        <v>280</v>
      </c>
      <c r="BL1" s="5" t="s">
        <v>281</v>
      </c>
      <c r="BM1" s="5" t="s">
        <v>282</v>
      </c>
      <c r="BN1" s="5" t="s">
        <v>283</v>
      </c>
      <c r="BO1" s="5" t="s">
        <v>284</v>
      </c>
      <c r="BP1" s="5" t="s">
        <v>285</v>
      </c>
      <c r="BQ1" s="5" t="s">
        <v>286</v>
      </c>
      <c r="BR1" s="5" t="s">
        <v>287</v>
      </c>
      <c r="BS1" s="5" t="s">
        <v>288</v>
      </c>
      <c r="BT1" s="5" t="s">
        <v>289</v>
      </c>
      <c r="BU1" s="5" t="s">
        <v>290</v>
      </c>
      <c r="BV1" s="5" t="s">
        <v>291</v>
      </c>
      <c r="BW1" s="5" t="s">
        <v>292</v>
      </c>
      <c r="BX1" s="5" t="s">
        <v>293</v>
      </c>
      <c r="BY1" s="5" t="s">
        <v>294</v>
      </c>
      <c r="BZ1" s="5" t="s">
        <v>295</v>
      </c>
      <c r="CA1" s="5" t="s">
        <v>296</v>
      </c>
      <c r="CB1" s="5" t="s">
        <v>297</v>
      </c>
      <c r="CC1" s="5" t="s">
        <v>298</v>
      </c>
      <c r="CD1" s="5" t="s">
        <v>299</v>
      </c>
      <c r="CE1" s="5" t="s">
        <v>300</v>
      </c>
      <c r="CF1" s="5" t="s">
        <v>301</v>
      </c>
      <c r="CG1" s="5" t="s">
        <v>302</v>
      </c>
      <c r="CH1" s="5" t="s">
        <v>303</v>
      </c>
      <c r="CI1" s="5" t="s">
        <v>304</v>
      </c>
      <c r="CJ1" s="5" t="s">
        <v>305</v>
      </c>
      <c r="CK1" s="5" t="s">
        <v>306</v>
      </c>
      <c r="CL1" s="5" t="s">
        <v>307</v>
      </c>
      <c r="CM1" s="5" t="s">
        <v>308</v>
      </c>
      <c r="CN1" s="5" t="s">
        <v>309</v>
      </c>
      <c r="CO1" s="5" t="s">
        <v>310</v>
      </c>
      <c r="CP1" s="5" t="s">
        <v>311</v>
      </c>
      <c r="CQ1" s="5" t="s">
        <v>312</v>
      </c>
      <c r="CR1" s="5" t="s">
        <v>313</v>
      </c>
      <c r="CS1" s="5" t="s">
        <v>314</v>
      </c>
      <c r="CT1" s="5" t="s">
        <v>315</v>
      </c>
      <c r="CU1" s="5" t="s">
        <v>316</v>
      </c>
      <c r="CV1" s="5" t="s">
        <v>317</v>
      </c>
      <c r="CW1" s="5" t="s">
        <v>318</v>
      </c>
      <c r="CX1" s="5" t="s">
        <v>319</v>
      </c>
      <c r="CY1" s="5" t="s">
        <v>320</v>
      </c>
      <c r="CZ1" s="5" t="s">
        <v>321</v>
      </c>
      <c r="DA1" s="5" t="s">
        <v>322</v>
      </c>
    </row>
    <row r="2" customFormat="false" ht="19.5" hidden="false" customHeight="true" outlineLevel="0" collapsed="false">
      <c r="A2" s="8" t="s">
        <v>215</v>
      </c>
      <c r="B2" s="9" t="n">
        <f aca="false">IF(AND(参与者填写!B2&lt;&gt;"",参与者填写!C2&lt;&gt;""),IF(AND(参与者填写!B2=比赛赛程!F2,参与者填写!C2=比赛赛程!G2),4,IF(SIGN(参与者填写!B2-参与者填写!C2)=SIGN(比赛赛程!F2-比赛赛程!G2),1,0)),"")</f>
        <v>0</v>
      </c>
      <c r="C2" s="9" t="n">
        <f aca="false">IF(AND(参与者填写!E2&lt;&gt;"",参与者填写!F2&lt;&gt;""),IF(AND(参与者填写!E2=比赛赛程!F3,参与者填写!F2=比赛赛程!G3),4,IF(SIGN(参与者填写!E2-参与者填写!F2)=SIGN(比赛赛程!F3-比赛赛程!G3),1,0)),"")</f>
        <v>0</v>
      </c>
      <c r="D2" s="9" t="n">
        <f aca="false">IF(AND(参与者填写!H2&lt;&gt;"",参与者填写!I2&lt;&gt;""),IF(AND(参与者填写!H2=比赛赛程!F4,参与者填写!I2=比赛赛程!G4),4,IF(SIGN(参与者填写!H2-参与者填写!I2)=SIGN(比赛赛程!F4-比赛赛程!G4),1,0)),"")</f>
        <v>0</v>
      </c>
      <c r="E2" s="9" t="n">
        <f aca="false">IF(AND(参与者填写!K2&lt;&gt;"",参与者填写!L2&lt;&gt;""),IF(AND(参与者填写!K2=比赛赛程!F5,参与者填写!L2=比赛赛程!G5),4,IF(SIGN(参与者填写!K2-参与者填写!L2)=SIGN(比赛赛程!F5-比赛赛程!G5),1,0)),"")</f>
        <v>0</v>
      </c>
      <c r="F2" s="9" t="n">
        <f aca="false">IF(AND(参与者填写!N2&lt;&gt;"",参与者填写!O2&lt;&gt;""),IF(AND(参与者填写!N2=比赛赛程!F6,参与者填写!O2=比赛赛程!G6),4,IF(SIGN(参与者填写!N2-参与者填写!O2)=SIGN(比赛赛程!F6-比赛赛程!G6),1,0)),"")</f>
        <v>0</v>
      </c>
      <c r="G2" s="9" t="n">
        <f aca="false">IF(AND(参与者填写!Q2&lt;&gt;"",参与者填写!R2&lt;&gt;""),IF(AND(参与者填写!Q2=比赛赛程!F7,参与者填写!R2=比赛赛程!G7),4,IF(SIGN(参与者填写!Q2-参与者填写!R2)=SIGN(比赛赛程!F7-比赛赛程!G7),1,0)),"")</f>
        <v>1</v>
      </c>
      <c r="H2" s="9" t="n">
        <f aca="false">IF(AND(参与者填写!T2&lt;&gt;"",参与者填写!U2&lt;&gt;""),IF(AND(参与者填写!T2=比赛赛程!F8,参与者填写!U2=比赛赛程!G8),4,IF(SIGN(参与者填写!T2-参与者填写!U2)=SIGN(比赛赛程!F8-比赛赛程!G8),1,0)),"")</f>
        <v>1</v>
      </c>
      <c r="I2" s="9" t="n">
        <f aca="false">IF(AND(参与者填写!W2&lt;&gt;"",参与者填写!X2&lt;&gt;""),IF(AND(参与者填写!W2=比赛赛程!F9,参与者填写!X2=比赛赛程!G9),4,IF(SIGN(参与者填写!W2-参与者填写!X2)=SIGN(比赛赛程!F9-比赛赛程!G9),1,0)),"")</f>
        <v>1</v>
      </c>
      <c r="J2" s="9" t="n">
        <f aca="false">IF(AND(参与者填写!Z2&lt;&gt;"",参与者填写!AA2&lt;&gt;""),IF(AND(参与者填写!Z2=比赛赛程!F10,参与者填写!AA2=比赛赛程!G10),4,IF(SIGN(参与者填写!Z2-参与者填写!AA2)=SIGN(比赛赛程!F10-比赛赛程!G10),1,0)),"")</f>
        <v>0</v>
      </c>
      <c r="K2" s="9" t="n">
        <f aca="false">IF(AND(参与者填写!AC2&lt;&gt;"",参与者填写!AD2&lt;&gt;""),IF(AND(参与者填写!AC2=比赛赛程!F11,参与者填写!AD2=比赛赛程!G11),4,IF(SIGN(参与者填写!AC2-参与者填写!AD2)=SIGN(比赛赛程!F11-比赛赛程!G11),1,0)),"")</f>
        <v>0</v>
      </c>
      <c r="L2" s="9" t="n">
        <f aca="false">IF(AND(参与者填写!AF2&lt;&gt;"",参与者填写!AG2&lt;&gt;""),IF(AND(参与者填写!AF2=比赛赛程!F12,参与者填写!AG2=比赛赛程!G12),4,IF(SIGN(参与者填写!AF2-参与者填写!AG2)=SIGN(比赛赛程!F12-比赛赛程!G12),1,0)),"")</f>
        <v>0</v>
      </c>
      <c r="M2" s="9" t="n">
        <f aca="false">IF(AND(参与者填写!AI2&lt;&gt;"",参与者填写!AJ2&lt;&gt;""),IF(AND(参与者填写!AI2=比赛赛程!F13,参与者填写!AJ2=比赛赛程!G13),4,IF(SIGN(参与者填写!AI2-参与者填写!AJ2)=SIGN(比赛赛程!F13-比赛赛程!G13),1,0)),"")</f>
        <v>1</v>
      </c>
      <c r="N2" s="9" t="n">
        <f aca="false">IF(AND(参与者填写!AL2&lt;&gt;"",参与者填写!AM2&lt;&gt;""),IF(AND(参与者填写!AL2=比赛赛程!F14,参与者填写!AM2=比赛赛程!G14),4,IF(SIGN(参与者填写!AL2-参与者填写!AM2)=SIGN(比赛赛程!F14-比赛赛程!G14),1,0)),"")</f>
        <v>0</v>
      </c>
      <c r="O2" s="9" t="n">
        <f aca="false">IF(AND(参与者填写!AO2&lt;&gt;"",参与者填写!AP2&lt;&gt;""),IF(AND(参与者填写!AO2=比赛赛程!F15,参与者填写!AP2=比赛赛程!G15),4,IF(SIGN(参与者填写!AO2-参与者填写!AP2)=SIGN(比赛赛程!F15-比赛赛程!G15),1,0)),"")</f>
        <v>0</v>
      </c>
      <c r="P2" s="9" t="n">
        <f aca="false">IF(AND(参与者填写!AR2&lt;&gt;"",参与者填写!AS2&lt;&gt;""),IF(AND(参与者填写!AR2=比赛赛程!F16,参与者填写!AS2=比赛赛程!G16),4,IF(SIGN(参与者填写!AR2-参与者填写!AS2)=SIGN(比赛赛程!F16-比赛赛程!G16),1,0)),"")</f>
        <v>0</v>
      </c>
      <c r="Q2" s="9" t="n">
        <f aca="false">IF(AND(参与者填写!AU2&lt;&gt;"",参与者填写!AV2&lt;&gt;""),IF(AND(参与者填写!AU2=比赛赛程!F17,参与者填写!AV2=比赛赛程!G17),4,IF(SIGN(参与者填写!AU2-参与者填写!AV2)=SIGN(比赛赛程!F17-比赛赛程!G17),1,0)),"")</f>
        <v>0</v>
      </c>
      <c r="R2" s="9" t="n">
        <f aca="false">IF(AND(参与者填写!AX2&lt;&gt;"",参与者填写!AY2&lt;&gt;""),IF(AND(参与者填写!AX2=比赛赛程!F18,参与者填写!AY2=比赛赛程!G18),4,IF(SIGN(参与者填写!AX2-参与者填写!AY2)=SIGN(比赛赛程!F18-比赛赛程!G18),1,0)),"")</f>
        <v>0</v>
      </c>
      <c r="S2" s="9" t="n">
        <f aca="false">IF(AND(参与者填写!BA2&lt;&gt;"",参与者填写!BB2&lt;&gt;""),IF(AND(参与者填写!BA2=比赛赛程!F19,参与者填写!BB2=比赛赛程!G19),4,IF(SIGN(参与者填写!BA2-参与者填写!BB2)=SIGN(比赛赛程!F19-比赛赛程!G19),1,0)),"")</f>
        <v>0</v>
      </c>
      <c r="T2" s="9" t="n">
        <f aca="false">IF(AND(参与者填写!BD2&lt;&gt;"",参与者填写!BE2&lt;&gt;""),IF(AND(参与者填写!BD2=比赛赛程!F20,参与者填写!BE2=比赛赛程!G20),4,IF(SIGN(参与者填写!BD2-参与者填写!BE2)=SIGN(比赛赛程!F20-比赛赛程!G20),1,0)),"")</f>
        <v>0</v>
      </c>
      <c r="U2" s="9" t="n">
        <f aca="false">IF(AND(参与者填写!BG2&lt;&gt;"",参与者填写!BH2&lt;&gt;""),IF(AND(参与者填写!BG2=比赛赛程!F21,参与者填写!BH2=比赛赛程!G21),4,IF(SIGN(参与者填写!BG2-参与者填写!BH2)=SIGN(比赛赛程!F21-比赛赛程!G21),1,0)),"")</f>
        <v>0</v>
      </c>
      <c r="V2" s="9" t="str">
        <f aca="false">IF(AND(参与者填写!BJ2&lt;&gt;"",参与者填写!BK2&lt;&gt;""),IF(AND(参与者填写!BJ2=比赛赛程!F22,参与者填写!BK2=比赛赛程!G22),4,IF(SIGN(参与者填写!BJ2-参与者填写!BK2)=SIGN(比赛赛程!F22-比赛赛程!G22),1,0)),"")</f>
        <v/>
      </c>
      <c r="W2" s="9" t="str">
        <f aca="false">IF(AND(参与者填写!BM2&lt;&gt;"",参与者填写!BN2&lt;&gt;""),IF(AND(参与者填写!BM2=比赛赛程!F23,参与者填写!BN2=比赛赛程!G23),4,IF(SIGN(参与者填写!BM2-参与者填写!BN2)=SIGN(比赛赛程!F23-比赛赛程!G23),1,0)),"")</f>
        <v/>
      </c>
      <c r="X2" s="9" t="str">
        <f aca="false">IF(AND(参与者填写!BP2&lt;&gt;"",参与者填写!BQ2&lt;&gt;""),IF(AND(参与者填写!BP2=比赛赛程!F24,参与者填写!BQ2=比赛赛程!G24),4,IF(SIGN(参与者填写!BP2-参与者填写!BQ2)=SIGN(比赛赛程!F24-比赛赛程!G24),1,0)),"")</f>
        <v/>
      </c>
      <c r="Y2" s="9" t="str">
        <f aca="false">IF(AND(参与者填写!BS2&lt;&gt;"",参与者填写!BT2&lt;&gt;""),IF(AND(参与者填写!BS2=比赛赛程!F25,参与者填写!BT2=比赛赛程!G25),4,IF(SIGN(参与者填写!BS2-参与者填写!BT2)=SIGN(比赛赛程!F25-比赛赛程!G25),1,0)),"")</f>
        <v/>
      </c>
      <c r="Z2" s="9" t="str">
        <f aca="false">IF(AND(参与者填写!BV2&lt;&gt;"",参与者填写!BW2&lt;&gt;""),IF(AND(参与者填写!BV2=比赛赛程!F26,参与者填写!BW2=比赛赛程!G26),4,IF(SIGN(参与者填写!BV2-参与者填写!BW2)=SIGN(比赛赛程!F26-比赛赛程!G26),1,0)),"")</f>
        <v/>
      </c>
      <c r="AA2" s="9" t="str">
        <f aca="false">IF(AND(参与者填写!BY2&lt;&gt;"",参与者填写!BZ2&lt;&gt;""),IF(AND(参与者填写!BY2=比赛赛程!F27,参与者填写!BZ2=比赛赛程!G27),4,IF(SIGN(参与者填写!BY2-参与者填写!BZ2)=SIGN(比赛赛程!F27-比赛赛程!G27),1,0)),"")</f>
        <v/>
      </c>
      <c r="AB2" s="9" t="str">
        <f aca="false">IF(AND(参与者填写!CB2&lt;&gt;"",参与者填写!CC2&lt;&gt;""),IF(AND(参与者填写!CB2=比赛赛程!F28,参与者填写!CC2=比赛赛程!G28),4,IF(SIGN(参与者填写!CB2-参与者填写!CC2)=SIGN(比赛赛程!F28-比赛赛程!G28),1,0)),"")</f>
        <v/>
      </c>
      <c r="AC2" s="9" t="str">
        <f aca="false">IF(AND(参与者填写!CE2&lt;&gt;"",参与者填写!CF2&lt;&gt;""),IF(AND(参与者填写!CE2=比赛赛程!F29,参与者填写!CF2=比赛赛程!G29),4,IF(SIGN(参与者填写!CE2-参与者填写!CF2)=SIGN(比赛赛程!F29-比赛赛程!G29),1,0)),"")</f>
        <v/>
      </c>
      <c r="AD2" s="9" t="str">
        <f aca="false">IF(AND(参与者填写!CH2&lt;&gt;"",参与者填写!CI2&lt;&gt;""),IF(AND(参与者填写!CH2=比赛赛程!F30,参与者填写!CI2=比赛赛程!G30),4,IF(SIGN(参与者填写!CH2-参与者填写!CI2)=SIGN(比赛赛程!F30-比赛赛程!G30),1,0)),"")</f>
        <v/>
      </c>
      <c r="AE2" s="9" t="str">
        <f aca="false">IF(AND(参与者填写!CK2&lt;&gt;"",参与者填写!CL2&lt;&gt;""),IF(AND(参与者填写!CK2=比赛赛程!F31,参与者填写!CL2=比赛赛程!G31),4,IF(SIGN(参与者填写!CK2-参与者填写!CL2)=SIGN(比赛赛程!F31-比赛赛程!G31),1,0)),"")</f>
        <v/>
      </c>
      <c r="AF2" s="9" t="str">
        <f aca="false">IF(AND(参与者填写!CN2&lt;&gt;"",参与者填写!CO2&lt;&gt;""),IF(AND(参与者填写!CN2=比赛赛程!F32,参与者填写!CO2=比赛赛程!G32),4,IF(SIGN(参与者填写!CN2-参与者填写!CO2)=SIGN(比赛赛程!F32-比赛赛程!G32),1,0)),"")</f>
        <v/>
      </c>
      <c r="AG2" s="9" t="str">
        <f aca="false">IF(AND(参与者填写!CQ2&lt;&gt;"",参与者填写!CR2&lt;&gt;""),IF(AND(参与者填写!CQ2=比赛赛程!F33,参与者填写!CR2=比赛赛程!G33),4,IF(SIGN(参与者填写!CQ2-参与者填写!CR2)=SIGN(比赛赛程!F33-比赛赛程!G33),1,0)),"")</f>
        <v/>
      </c>
      <c r="AH2" s="9" t="str">
        <f aca="false">IF(AND(参与者填写!CT2&lt;&gt;"",参与者填写!CU2&lt;&gt;""),IF(AND(参与者填写!CT2=比赛赛程!F34,参与者填写!CU2=比赛赛程!G34),4,IF(SIGN(参与者填写!CT2-参与者填写!CU2)=SIGN(比赛赛程!F34-比赛赛程!G34),1,0)),"")</f>
        <v/>
      </c>
      <c r="AI2" s="9" t="str">
        <f aca="false">IF(AND(参与者填写!CW2&lt;&gt;"",参与者填写!CX2&lt;&gt;""),IF(AND(参与者填写!CW2=比赛赛程!F35,参与者填写!CX2=比赛赛程!G35),4,IF(SIGN(参与者填写!CW2-参与者填写!CX2)=SIGN(比赛赛程!F35-比赛赛程!G35),1,0)),"")</f>
        <v/>
      </c>
      <c r="AJ2" s="9" t="str">
        <f aca="false">IF(AND(参与者填写!CZ2&lt;&gt;"",参与者填写!DA2&lt;&gt;""),IF(AND(参与者填写!CZ2=比赛赛程!F36,参与者填写!DA2=比赛赛程!G36),4,IF(SIGN(参与者填写!CZ2-参与者填写!DA2)=SIGN(比赛赛程!F36-比赛赛程!G36),1,0)),"")</f>
        <v/>
      </c>
      <c r="AK2" s="9" t="str">
        <f aca="false">IF(AND(参与者填写!DC2&lt;&gt;"",参与者填写!DD2&lt;&gt;""),IF(AND(参与者填写!DC2=比赛赛程!F37,参与者填写!DD2=比赛赛程!G37),4,IF(SIGN(参与者填写!DC2-参与者填写!DD2)=SIGN(比赛赛程!F37-比赛赛程!G37),1,0)),"")</f>
        <v/>
      </c>
      <c r="AL2" s="9" t="str">
        <f aca="false">IF(AND(参与者填写!DF2&lt;&gt;"",参与者填写!DG2&lt;&gt;""),IF(AND(参与者填写!DF2=比赛赛程!F38,参与者填写!DG2=比赛赛程!G38),4,IF(SIGN(参与者填写!DF2-参与者填写!DG2)=SIGN(比赛赛程!F38-比赛赛程!G38),1,0)),"")</f>
        <v/>
      </c>
      <c r="AM2" s="9" t="str">
        <f aca="false">IF(AND(参与者填写!DI2&lt;&gt;"",参与者填写!DJ2&lt;&gt;""),IF(AND(参与者填写!DI2=比赛赛程!F39,参与者填写!DJ2=比赛赛程!G39),4,IF(SIGN(参与者填写!DI2-参与者填写!DJ2)=SIGN(比赛赛程!F39-比赛赛程!G39),1,0)),"")</f>
        <v/>
      </c>
      <c r="AN2" s="9" t="str">
        <f aca="false">IF(AND(参与者填写!DL2&lt;&gt;"",参与者填写!DM2&lt;&gt;""),IF(AND(参与者填写!DL2=比赛赛程!F40,参与者填写!DM2=比赛赛程!G40),4,IF(SIGN(参与者填写!DL2-参与者填写!DM2)=SIGN(比赛赛程!F40-比赛赛程!G40),1,0)),"")</f>
        <v/>
      </c>
      <c r="AO2" s="9" t="str">
        <f aca="false">IF(AND(参与者填写!DO2&lt;&gt;"",参与者填写!DP2&lt;&gt;""),IF(AND(参与者填写!DO2=比赛赛程!F41,参与者填写!DP2=比赛赛程!G41),4,IF(SIGN(参与者填写!DO2-参与者填写!DP2)=SIGN(比赛赛程!F41-比赛赛程!G41),1,0)),"")</f>
        <v/>
      </c>
      <c r="AP2" s="9" t="str">
        <f aca="false">IF(AND(参与者填写!DR2&lt;&gt;"",参与者填写!DS2&lt;&gt;""),IF(AND(参与者填写!DR2=比赛赛程!F42,参与者填写!DS2=比赛赛程!G42),4,IF(SIGN(参与者填写!DR2-参与者填写!DS2)=SIGN(比赛赛程!F42-比赛赛程!G42),1,0)),"")</f>
        <v/>
      </c>
      <c r="AQ2" s="9" t="str">
        <f aca="false">IF(AND(参与者填写!DU2&lt;&gt;"",参与者填写!DV2&lt;&gt;""),IF(AND(参与者填写!DU2=比赛赛程!F43,参与者填写!DV2=比赛赛程!G43),4,IF(SIGN(参与者填写!DU2-参与者填写!DV2)=SIGN(比赛赛程!F43-比赛赛程!G43),1,0)),"")</f>
        <v/>
      </c>
      <c r="AR2" s="9" t="str">
        <f aca="false">IF(AND(参与者填写!DX2&lt;&gt;"",参与者填写!DY2&lt;&gt;""),IF(AND(参与者填写!DX2=比赛赛程!F44,参与者填写!DY2=比赛赛程!G44),4,IF(SIGN(参与者填写!DX2-参与者填写!DY2)=SIGN(比赛赛程!F44-比赛赛程!G44),1,0)),"")</f>
        <v/>
      </c>
      <c r="AS2" s="9" t="str">
        <f aca="false">IF(AND(参与者填写!EA2&lt;&gt;"",参与者填写!EB2&lt;&gt;""),IF(AND(参与者填写!EA2=比赛赛程!F45,参与者填写!EB2=比赛赛程!G45),4,IF(SIGN(参与者填写!EA2-参与者填写!EB2)=SIGN(比赛赛程!F45-比赛赛程!G45),1,0)),"")</f>
        <v/>
      </c>
      <c r="AT2" s="9" t="str">
        <f aca="false">IF(AND(参与者填写!ED2&lt;&gt;"",参与者填写!EE2&lt;&gt;""),IF(AND(参与者填写!ED2=比赛赛程!F46,参与者填写!EE2=比赛赛程!G46),4,IF(SIGN(参与者填写!ED2-参与者填写!EE2)=SIGN(比赛赛程!F46-比赛赛程!G46),1,0)),"")</f>
        <v/>
      </c>
      <c r="AU2" s="9" t="str">
        <f aca="false">IF(AND(参与者填写!EG2&lt;&gt;"",参与者填写!EH2&lt;&gt;""),IF(AND(参与者填写!EG2=比赛赛程!F47,参与者填写!EH2=比赛赛程!G47),4,IF(SIGN(参与者填写!EG2-参与者填写!EH2)=SIGN(比赛赛程!F47-比赛赛程!G47),1,0)),"")</f>
        <v/>
      </c>
      <c r="AV2" s="9" t="str">
        <f aca="false">IF(AND(参与者填写!EJ2&lt;&gt;"",参与者填写!EK2&lt;&gt;""),IF(AND(参与者填写!EJ2=比赛赛程!F48,参与者填写!EK2=比赛赛程!G48),4,IF(SIGN(参与者填写!EJ2-参与者填写!EK2)=SIGN(比赛赛程!F48-比赛赛程!G48),1,0)),"")</f>
        <v/>
      </c>
      <c r="AW2" s="9" t="str">
        <f aca="false">IF(AND(参与者填写!EM2&lt;&gt;"",参与者填写!EN2&lt;&gt;""),IF(AND(参与者填写!EM2=比赛赛程!F49,参与者填写!EN2=比赛赛程!G49),4,IF(SIGN(参与者填写!EM2-参与者填写!EN2)=SIGN(比赛赛程!F49-比赛赛程!G49),1,0)),"")</f>
        <v/>
      </c>
      <c r="AX2" s="9" t="str">
        <f aca="false">IF(AND(参与者填写!EP2&lt;&gt;"",参与者填写!EQ2&lt;&gt;""),IF(AND(参与者填写!EP2=比赛赛程!F50,参与者填写!EQ2=比赛赛程!G50),4,IF(SIGN(参与者填写!EP2-参与者填写!EQ2)=SIGN(比赛赛程!F50-比赛赛程!G50),1,0)),"")</f>
        <v/>
      </c>
      <c r="AY2" s="9" t="str">
        <f aca="false">IF(AND(参与者填写!ES2&lt;&gt;"",参与者填写!ET2&lt;&gt;""),IF(AND(参与者填写!ES2=比赛赛程!F51,参与者填写!ET2=比赛赛程!G51),4,IF(SIGN(参与者填写!ES2-参与者填写!ET2)=SIGN(比赛赛程!F51-比赛赛程!G51),1,0)),"")</f>
        <v/>
      </c>
      <c r="AZ2" s="9" t="str">
        <f aca="false">IF(AND(参与者填写!EV2&lt;&gt;"",参与者填写!EW2&lt;&gt;""),IF(AND(参与者填写!EV2=比赛赛程!F52,参与者填写!EW2=比赛赛程!G52),4,IF(SIGN(参与者填写!EV2-参与者填写!EW2)=SIGN(比赛赛程!F52-比赛赛程!G52),1,0)),"")</f>
        <v/>
      </c>
      <c r="BA2" s="9" t="str">
        <f aca="false">IF(AND(参与者填写!EY2&lt;&gt;"",参与者填写!EZ2&lt;&gt;""),IF(AND(参与者填写!EY2=比赛赛程!F53,参与者填写!EZ2=比赛赛程!G53),4,IF(SIGN(参与者填写!EY2-参与者填写!EZ2)=SIGN(比赛赛程!F53-比赛赛程!G53),1,0)),"")</f>
        <v/>
      </c>
      <c r="BB2" s="9" t="str">
        <f aca="false">IF(AND(参与者填写!FB2&lt;&gt;"",参与者填写!FC2&lt;&gt;""),IF(AND(参与者填写!FB2=比赛赛程!F54,参与者填写!FC2=比赛赛程!G54),4,IF(SIGN(参与者填写!FB2-参与者填写!FC2)=SIGN(比赛赛程!F54-比赛赛程!G54),1,0)),"")</f>
        <v/>
      </c>
      <c r="BC2" s="9" t="str">
        <f aca="false">IF(AND(参与者填写!FE2&lt;&gt;"",参与者填写!FF2&lt;&gt;""),IF(AND(参与者填写!FE2=比赛赛程!F55,参与者填写!FF2=比赛赛程!G55),4,IF(SIGN(参与者填写!FE2-参与者填写!FF2)=SIGN(比赛赛程!F55-比赛赛程!G55),1,0)),"")</f>
        <v/>
      </c>
      <c r="BD2" s="9" t="str">
        <f aca="false">IF(AND(参与者填写!FH2&lt;&gt;"",参与者填写!FI2&lt;&gt;""),IF(AND(参与者填写!FH2=比赛赛程!F56,参与者填写!FI2=比赛赛程!G56),4,IF(SIGN(参与者填写!FH2-参与者填写!FI2)=SIGN(比赛赛程!F56-比赛赛程!G56),1,0)),"")</f>
        <v/>
      </c>
      <c r="BE2" s="9" t="str">
        <f aca="false">IF(AND(参与者填写!FK2&lt;&gt;"",参与者填写!FL2&lt;&gt;""),IF(AND(参与者填写!FK2=比赛赛程!F57,参与者填写!FL2=比赛赛程!G57),4,IF(SIGN(参与者填写!FK2-参与者填写!FL2)=SIGN(比赛赛程!F57-比赛赛程!G57),1,0)),"")</f>
        <v/>
      </c>
      <c r="BF2" s="9" t="str">
        <f aca="false">IF(AND(参与者填写!FN2&lt;&gt;"",参与者填写!FO2&lt;&gt;""),IF(AND(参与者填写!FN2=比赛赛程!F58,参与者填写!FO2=比赛赛程!G58),4,IF(SIGN(参与者填写!FN2-参与者填写!FO2)=SIGN(比赛赛程!F58-比赛赛程!G58),1,0)),"")</f>
        <v/>
      </c>
      <c r="BG2" s="9" t="str">
        <f aca="false">IF(AND(参与者填写!FQ2&lt;&gt;"",参与者填写!FR2&lt;&gt;""),IF(AND(参与者填写!FQ2=比赛赛程!F59,参与者填写!FR2=比赛赛程!G59),4,IF(SIGN(参与者填写!FQ2-参与者填写!FR2)=SIGN(比赛赛程!F59-比赛赛程!G59),1,0)),"")</f>
        <v/>
      </c>
      <c r="BH2" s="9" t="str">
        <f aca="false">IF(AND(参与者填写!FT2&lt;&gt;"",参与者填写!FU2&lt;&gt;""),IF(AND(参与者填写!FT2=比赛赛程!F60,参与者填写!FU2=比赛赛程!G60),4,IF(SIGN(参与者填写!FT2-参与者填写!FU2)=SIGN(比赛赛程!F60-比赛赛程!G60),1,0)),"")</f>
        <v/>
      </c>
      <c r="BI2" s="9" t="str">
        <f aca="false">IF(AND(参与者填写!FW2&lt;&gt;"",参与者填写!FX2&lt;&gt;""),IF(AND(参与者填写!FW2=比赛赛程!F61,参与者填写!FX2=比赛赛程!G61),4,IF(SIGN(参与者填写!FW2-参与者填写!FX2)=SIGN(比赛赛程!F61-比赛赛程!G61),1,0)),"")</f>
        <v/>
      </c>
      <c r="BJ2" s="9" t="str">
        <f aca="false">IF(AND(参与者填写!FZ2&lt;&gt;"",参与者填写!GA2&lt;&gt;""),IF(AND(参与者填写!FZ2=比赛赛程!F62,参与者填写!GA2=比赛赛程!G62),4,IF(SIGN(参与者填写!FZ2-参与者填写!GA2)=SIGN(比赛赛程!F62-比赛赛程!G62),1,0)),"")</f>
        <v/>
      </c>
      <c r="BK2" s="9" t="str">
        <f aca="false">IF(AND(参与者填写!GC2&lt;&gt;"",参与者填写!GD2&lt;&gt;""),IF(AND(参与者填写!GC2=比赛赛程!F63,参与者填写!GD2=比赛赛程!G63),4,IF(SIGN(参与者填写!GC2-参与者填写!GD2)=SIGN(比赛赛程!F63-比赛赛程!G63),1,0)),"")</f>
        <v/>
      </c>
      <c r="BL2" s="9" t="str">
        <f aca="false">IF(AND(参与者填写!GF2&lt;&gt;"",参与者填写!GG2&lt;&gt;""),IF(AND(参与者填写!GF2=比赛赛程!F64,参与者填写!GG2=比赛赛程!G64),4,IF(SIGN(参与者填写!GF2-参与者填写!GG2)=SIGN(比赛赛程!F64-比赛赛程!G64),1,0)),"")</f>
        <v/>
      </c>
      <c r="BM2" s="9" t="str">
        <f aca="false">IF(AND(参与者填写!GI2&lt;&gt;"",参与者填写!GJ2&lt;&gt;""),IF(AND(参与者填写!GI2=比赛赛程!F65,参与者填写!GJ2=比赛赛程!G65),4,IF(SIGN(参与者填写!GI2-参与者填写!GJ2)=SIGN(比赛赛程!F65-比赛赛程!G65),1,0)),"")</f>
        <v/>
      </c>
      <c r="BN2" s="9" t="str">
        <f aca="false">IF(AND(参与者填写!GL2&lt;&gt;"",参与者填写!GM2&lt;&gt;""),IF(AND(参与者填写!GL2=比赛赛程!F66,参与者填写!GM2=比赛赛程!G66),4,IF(SIGN(参与者填写!GL2-参与者填写!GM2)=SIGN(比赛赛程!F66-比赛赛程!G66),1,0)),"")</f>
        <v/>
      </c>
      <c r="BO2" s="9" t="str">
        <f aca="false">IF(AND(参与者填写!GO2&lt;&gt;"",参与者填写!GP2&lt;&gt;""),IF(AND(参与者填写!GO2=比赛赛程!F67,参与者填写!GP2=比赛赛程!G67),4,IF(SIGN(参与者填写!GO2-参与者填写!GP2)=SIGN(比赛赛程!F67-比赛赛程!G67),1,0)),"")</f>
        <v/>
      </c>
      <c r="BP2" s="9" t="str">
        <f aca="false">IF(AND(参与者填写!GR2&lt;&gt;"",参与者填写!GS2&lt;&gt;""),IF(AND(参与者填写!GR2=比赛赛程!F68,参与者填写!GS2=比赛赛程!G68),4,IF(SIGN(参与者填写!GR2-参与者填写!GS2)=SIGN(比赛赛程!F68-比赛赛程!G68),1,0)),"")</f>
        <v/>
      </c>
      <c r="BQ2" s="9" t="str">
        <f aca="false">IF(AND(参与者填写!GU2&lt;&gt;"",参与者填写!GV2&lt;&gt;""),IF(AND(参与者填写!GU2=比赛赛程!F69,参与者填写!GV2=比赛赛程!G69),4,IF(SIGN(参与者填写!GU2-参与者填写!GV2)=SIGN(比赛赛程!F69-比赛赛程!G69),1,0)),"")</f>
        <v/>
      </c>
      <c r="BR2" s="9" t="str">
        <f aca="false">IF(AND(参与者填写!GX2&lt;&gt;"",参与者填写!GY2&lt;&gt;""),IF(AND(参与者填写!GX2=比赛赛程!F70,参与者填写!GY2=比赛赛程!G70),4,IF(SIGN(参与者填写!GX2-参与者填写!GY2)=SIGN(比赛赛程!F70-比赛赛程!G70),1,0)),"")</f>
        <v/>
      </c>
      <c r="BS2" s="9" t="str">
        <f aca="false">IF(AND(参与者填写!HA2&lt;&gt;"",参与者填写!HB2&lt;&gt;""),IF(AND(参与者填写!HA2=比赛赛程!F71,参与者填写!HB2=比赛赛程!G71),4,IF(SIGN(参与者填写!HA2-参与者填写!HB2)=SIGN(比赛赛程!F71-比赛赛程!G71),1,0)),"")</f>
        <v/>
      </c>
      <c r="BT2" s="9" t="str">
        <f aca="false">IF(AND(参与者填写!HD2&lt;&gt;"",参与者填写!HE2&lt;&gt;""),IF(AND(参与者填写!HD2=比赛赛程!F72,参与者填写!HE2=比赛赛程!G72),4,IF(SIGN(参与者填写!HD2-参与者填写!HE2)=SIGN(比赛赛程!F72-比赛赛程!G72),1,0)),"")</f>
        <v/>
      </c>
      <c r="BU2" s="9" t="str">
        <f aca="false">IF(AND(参与者填写!HG2&lt;&gt;"",参与者填写!HH2&lt;&gt;""),IF(AND(参与者填写!HG2=比赛赛程!F73,参与者填写!HH2=比赛赛程!G73),4,IF(SIGN(参与者填写!HG2-参与者填写!HH2)=SIGN(比赛赛程!F73-比赛赛程!G73),1,0)),"")</f>
        <v/>
      </c>
      <c r="BV2" s="9" t="str">
        <f aca="false">IF(AND(参与者填写!HJ2&lt;&gt;"",参与者填写!HK2&lt;&gt;""),IF(AND(参与者填写!HJ2=比赛赛程!F74,参与者填写!HK2=比赛赛程!G74),4,IF(SIGN(参与者填写!HJ2-参与者填写!HK2)=SIGN(比赛赛程!F74-比赛赛程!G74),1,0)),"")</f>
        <v/>
      </c>
      <c r="BW2" s="9" t="str">
        <f aca="false">IF(AND(参与者填写!HM2&lt;&gt;"",参与者填写!HN2&lt;&gt;""),IF(AND(参与者填写!HM2=比赛赛程!F75,参与者填写!HN2=比赛赛程!G75),4,IF(SIGN(参与者填写!HM2-参与者填写!HN2)=SIGN(比赛赛程!F75-比赛赛程!G75),1,0)),"")</f>
        <v/>
      </c>
      <c r="BX2" s="9" t="str">
        <f aca="false">IF(AND(参与者填写!HP2&lt;&gt;"",参与者填写!HQ2&lt;&gt;""),IF(AND(参与者填写!HP2=比赛赛程!F76,参与者填写!HQ2=比赛赛程!G76),4,IF(SIGN(参与者填写!HP2-参与者填写!HQ2)=SIGN(比赛赛程!F76-比赛赛程!G76),1,0)),"")</f>
        <v/>
      </c>
      <c r="BY2" s="9" t="str">
        <f aca="false">IF(AND(参与者填写!HS2&lt;&gt;"",参与者填写!HT2&lt;&gt;""),IF(AND(参与者填写!HS2=比赛赛程!F77,参与者填写!HT2=比赛赛程!G77),4,IF(SIGN(参与者填写!HS2-参与者填写!HT2)=SIGN(比赛赛程!F77-比赛赛程!G77),1,0)),"")</f>
        <v/>
      </c>
      <c r="BZ2" s="9" t="str">
        <f aca="false">IF(AND(参与者填写!HV2&lt;&gt;"",参与者填写!HW2&lt;&gt;""),IF(AND(参与者填写!HV2=比赛赛程!F78,参与者填写!HW2=比赛赛程!G78),4,IF(SIGN(参与者填写!HV2-参与者填写!HW2)=SIGN(比赛赛程!F78-比赛赛程!G78),1,0)),"")</f>
        <v/>
      </c>
      <c r="CA2" s="9" t="str">
        <f aca="false">IF(AND(参与者填写!HY2&lt;&gt;"",参与者填写!HZ2&lt;&gt;""),IF(AND(参与者填写!HY2=比赛赛程!F79,参与者填写!HZ2=比赛赛程!G79),4,IF(SIGN(参与者填写!HY2-参与者填写!HZ2)=SIGN(比赛赛程!F79-比赛赛程!G79),1,0)),"")</f>
        <v/>
      </c>
      <c r="CB2" s="9" t="str">
        <f aca="false">IF(AND(参与者填写!IB2&lt;&gt;"",参与者填写!IC2&lt;&gt;""),IF(AND(参与者填写!IB2=比赛赛程!F80,参与者填写!IC2=比赛赛程!G80),4,IF(SIGN(参与者填写!IB2-参与者填写!IC2)=SIGN(比赛赛程!F80-比赛赛程!G80),1,0)),"")</f>
        <v/>
      </c>
      <c r="CC2" s="9" t="str">
        <f aca="false">IF(AND(参与者填写!IE2&lt;&gt;"",参与者填写!IF2&lt;&gt;""),IF(AND(参与者填写!IE2=比赛赛程!F81,参与者填写!IF2=比赛赛程!G81),4,IF(SIGN(参与者填写!IE2-参与者填写!IF2)=SIGN(比赛赛程!F81-比赛赛程!G81),1,0)),"")</f>
        <v/>
      </c>
      <c r="CD2" s="9" t="str">
        <f aca="false">IF(AND(参与者填写!IH2&lt;&gt;"",参与者填写!II2&lt;&gt;""),IF(AND(参与者填写!IH2=比赛赛程!F82,参与者填写!II2=比赛赛程!G82),4,IF(SIGN(参与者填写!IH2-参与者填写!II2)=SIGN(比赛赛程!F82-比赛赛程!G82),1,0)),"")</f>
        <v/>
      </c>
      <c r="CE2" s="9" t="str">
        <f aca="false">IF(AND(参与者填写!IK2&lt;&gt;"",参与者填写!IL2&lt;&gt;""),IF(AND(参与者填写!IK2=比赛赛程!F83,参与者填写!IL2=比赛赛程!G83),4,IF(SIGN(参与者填写!IK2-参与者填写!IL2)=SIGN(比赛赛程!F83-比赛赛程!G83),1,0)),"")</f>
        <v/>
      </c>
      <c r="CF2" s="9" t="str">
        <f aca="false">IF(AND(参与者填写!IN2&lt;&gt;"",参与者填写!IO2&lt;&gt;""),IF(AND(参与者填写!IN2=比赛赛程!F84,参与者填写!IO2=比赛赛程!G84),4,IF(SIGN(参与者填写!IN2-参与者填写!IO2)=SIGN(比赛赛程!F84-比赛赛程!G84),1,0)),"")</f>
        <v/>
      </c>
      <c r="CG2" s="9" t="str">
        <f aca="false">IF(AND(参与者填写!IQ2&lt;&gt;"",参与者填写!IR2&lt;&gt;""),IF(AND(参与者填写!IQ2=比赛赛程!F85,参与者填写!IR2=比赛赛程!G85),4,IF(SIGN(参与者填写!IQ2-参与者填写!IR2)=SIGN(比赛赛程!F85-比赛赛程!G85),1,0)),"")</f>
        <v/>
      </c>
      <c r="CH2" s="9" t="str">
        <f aca="false">IF(AND(参与者填写!IT2&lt;&gt;"",参与者填写!IU2&lt;&gt;""),IF(AND(参与者填写!IT2=比赛赛程!F86,参与者填写!IU2=比赛赛程!G86),4,IF(SIGN(参与者填写!IT2-参与者填写!IU2)=SIGN(比赛赛程!F86-比赛赛程!G86),1,0)),"")</f>
        <v/>
      </c>
      <c r="CI2" s="9" t="str">
        <f aca="false">IF(AND(参与者填写!IW2&lt;&gt;"",参与者填写!IX2&lt;&gt;""),IF(AND(参与者填写!IW2=比赛赛程!F87,参与者填写!IX2=比赛赛程!G87),4,IF(SIGN(参与者填写!IW2-参与者填写!IX2)=SIGN(比赛赛程!F87-比赛赛程!G87),1,0)),"")</f>
        <v/>
      </c>
      <c r="CJ2" s="9" t="str">
        <f aca="false">IF(AND(参与者填写!IZ2&lt;&gt;"",参与者填写!JA2&lt;&gt;""),IF(AND(参与者填写!IZ2=比赛赛程!F88,参与者填写!JA2=比赛赛程!G88),4,IF(SIGN(参与者填写!IZ2-参与者填写!JA2)=SIGN(比赛赛程!F88-比赛赛程!G88),1,0)),"")</f>
        <v/>
      </c>
      <c r="CK2" s="9" t="str">
        <f aca="false">IF(AND(参与者填写!JC2&lt;&gt;"",参与者填写!JD2&lt;&gt;""),IF(AND(参与者填写!JC2=比赛赛程!F89,参与者填写!JD2=比赛赛程!G89),4,IF(SIGN(参与者填写!JC2-参与者填写!JD2)=SIGN(比赛赛程!F89-比赛赛程!G89),1,0)),"")</f>
        <v/>
      </c>
      <c r="CL2" s="9" t="str">
        <f aca="false">IF(AND(参与者填写!JF2&lt;&gt;"",参与者填写!JG2&lt;&gt;""),IF(AND(参与者填写!JF2=比赛赛程!F90,参与者填写!JG2=比赛赛程!G90),4,IF(SIGN(参与者填写!JF2-参与者填写!JG2)=SIGN(比赛赛程!F90-比赛赛程!G90),1,0)),"")</f>
        <v/>
      </c>
      <c r="CM2" s="9" t="str">
        <f aca="false">IF(AND(参与者填写!JI2&lt;&gt;"",参与者填写!JJ2&lt;&gt;""),IF(AND(参与者填写!JI2=比赛赛程!F91,参与者填写!JJ2=比赛赛程!G91),4,IF(SIGN(参与者填写!JI2-参与者填写!JJ2)=SIGN(比赛赛程!F91-比赛赛程!G91),1,0)),"")</f>
        <v/>
      </c>
      <c r="CN2" s="9" t="str">
        <f aca="false">IF(AND(参与者填写!JL2&lt;&gt;"",参与者填写!JM2&lt;&gt;""),IF(AND(参与者填写!JL2=比赛赛程!F92,参与者填写!JM2=比赛赛程!G92),4,IF(SIGN(参与者填写!JL2-参与者填写!JM2)=SIGN(比赛赛程!F92-比赛赛程!G92),1,0)),"")</f>
        <v/>
      </c>
      <c r="CO2" s="9" t="str">
        <f aca="false">IF(AND(参与者填写!JO2&lt;&gt;"",参与者填写!JP2&lt;&gt;""),IF(AND(参与者填写!JO2=比赛赛程!F93,参与者填写!JP2=比赛赛程!G93),4,IF(SIGN(参与者填写!JO2-参与者填写!JP2)=SIGN(比赛赛程!F93-比赛赛程!G93),1,0)),"")</f>
        <v/>
      </c>
      <c r="CP2" s="9" t="str">
        <f aca="false">IF(AND(参与者填写!JR2&lt;&gt;"",参与者填写!JS2&lt;&gt;""),IF(AND(参与者填写!JR2=比赛赛程!F94,参与者填写!JS2=比赛赛程!G94),4,IF(SIGN(参与者填写!JR2-参与者填写!JS2)=SIGN(比赛赛程!F94-比赛赛程!G94),1,0)),"")</f>
        <v/>
      </c>
      <c r="CQ2" s="9" t="str">
        <f aca="false">IF(AND(参与者填写!JU2&lt;&gt;"",参与者填写!JV2&lt;&gt;""),IF(AND(参与者填写!JU2=比赛赛程!F95,参与者填写!JV2=比赛赛程!G95),4,IF(SIGN(参与者填写!JU2-参与者填写!JV2)=SIGN(比赛赛程!F95-比赛赛程!G95),1,0)),"")</f>
        <v/>
      </c>
      <c r="CR2" s="9" t="str">
        <f aca="false">IF(AND(参与者填写!JX2&lt;&gt;"",参与者填写!JY2&lt;&gt;""),IF(AND(参与者填写!JX2=比赛赛程!F96,参与者填写!JY2=比赛赛程!G96),4,IF(SIGN(参与者填写!JX2-参与者填写!JY2)=SIGN(比赛赛程!F96-比赛赛程!G96),1,0)),"")</f>
        <v/>
      </c>
      <c r="CS2" s="9" t="str">
        <f aca="false">IF(AND(参与者填写!KA2&lt;&gt;"",参与者填写!KB2&lt;&gt;""),IF(AND(参与者填写!KA2=比赛赛程!F97,参与者填写!KB2=比赛赛程!G97),4,IF(SIGN(参与者填写!KA2-参与者填写!KB2)=SIGN(比赛赛程!F97-比赛赛程!G97),1,0)),"")</f>
        <v/>
      </c>
      <c r="CT2" s="9" t="str">
        <f aca="false">IF(AND(参与者填写!KD2&lt;&gt;"",参与者填写!KE2&lt;&gt;""),IF(AND(参与者填写!KD2=比赛赛程!F98,参与者填写!KE2=比赛赛程!G98),4,IF(SIGN(参与者填写!KD2-参与者填写!KE2)=SIGN(比赛赛程!F98-比赛赛程!G98),1,0)),"")</f>
        <v/>
      </c>
      <c r="CU2" s="9" t="str">
        <f aca="false">IF(AND(参与者填写!KG2&lt;&gt;"",参与者填写!KH2&lt;&gt;""),IF(AND(参与者填写!KG2=比赛赛程!F99,参与者填写!KH2=比赛赛程!G99),4,IF(SIGN(参与者填写!KG2-参与者填写!KH2)=SIGN(比赛赛程!F99-比赛赛程!G99),1,0)),"")</f>
        <v/>
      </c>
      <c r="CV2" s="9" t="str">
        <f aca="false">IF(AND(参与者填写!KJ2&lt;&gt;"",参与者填写!KK2&lt;&gt;""),IF(AND(参与者填写!KJ2=比赛赛程!F100,参与者填写!KK2=比赛赛程!G100),4,IF(SIGN(参与者填写!KJ2-参与者填写!KK2)=SIGN(比赛赛程!F100-比赛赛程!G100),1,0)),"")</f>
        <v/>
      </c>
      <c r="CW2" s="9" t="str">
        <f aca="false">IF(AND(参与者填写!KM2&lt;&gt;"",参与者填写!KN2&lt;&gt;""),IF(AND(参与者填写!KM2=比赛赛程!F101,参与者填写!KN2=比赛赛程!G101),4,IF(SIGN(参与者填写!KM2-参与者填写!KN2)=SIGN(比赛赛程!F101-比赛赛程!G101),1,0)),"")</f>
        <v/>
      </c>
      <c r="CX2" s="9" t="str">
        <f aca="false">IF(AND(参与者填写!KP2&lt;&gt;"",参与者填写!KQ2&lt;&gt;""),IF(AND(参与者填写!KP2=比赛赛程!F102,参与者填写!KQ2=比赛赛程!G102),4,IF(SIGN(参与者填写!KP2-参与者填写!KQ2)=SIGN(比赛赛程!F102-比赛赛程!G102),1,0)),"")</f>
        <v/>
      </c>
      <c r="CY2" s="9" t="str">
        <f aca="false">IF(AND(参与者填写!KS2&lt;&gt;"",参与者填写!KT2&lt;&gt;""),IF(AND(参与者填写!KS2=比赛赛程!F103,参与者填写!KT2=比赛赛程!G103),4,IF(SIGN(参与者填写!KS2-参与者填写!KT2)=SIGN(比赛赛程!F103-比赛赛程!G103),1,0)),"")</f>
        <v/>
      </c>
      <c r="CZ2" s="9" t="str">
        <f aca="false">IF(AND(参与者填写!KV2&lt;&gt;"",参与者填写!KW2&lt;&gt;""),IF(AND(参与者填写!KV2=比赛赛程!F104,参与者填写!KW2=比赛赛程!G104),4,IF(SIGN(参与者填写!KV2-参与者填写!KW2)=SIGN(比赛赛程!F104-比赛赛程!G104),1,0)),"")</f>
        <v/>
      </c>
      <c r="DA2" s="9" t="str">
        <f aca="false">IF(AND(参与者填写!KY2&lt;&gt;"",参与者填写!KZ2&lt;&gt;""),IF(AND(参与者填写!KY2=比赛赛程!F105,参与者填写!KZ2=比赛赛程!G105),4,IF(SIGN(参与者填写!KY2-参与者填写!KZ2)=SIGN(比赛赛程!F105-比赛赛程!G105),1,0)),"")</f>
        <v/>
      </c>
    </row>
    <row r="3" customFormat="false" ht="19.5" hidden="false" customHeight="true" outlineLevel="0" collapsed="false">
      <c r="A3" s="8" t="s">
        <v>216</v>
      </c>
      <c r="B3" s="9" t="n">
        <f aca="false">IF(AND(参与者填写!B3&lt;&gt;"",参与者填写!C3&lt;&gt;""),IF(AND(参与者填写!B3=比赛赛程!F2,参与者填写!C3=比赛赛程!G2),4,IF(SIGN(参与者填写!B3-参与者填写!C3)=SIGN(比赛赛程!F2-比赛赛程!G2),1,0)),"")</f>
        <v>0</v>
      </c>
      <c r="C3" s="9" t="n">
        <f aca="false">IF(AND(参与者填写!E3&lt;&gt;"",参与者填写!F3&lt;&gt;""),IF(AND(参与者填写!E3=比赛赛程!F3,参与者填写!F3=比赛赛程!G3),4,IF(SIGN(参与者填写!E3-参与者填写!F3)=SIGN(比赛赛程!F3-比赛赛程!G3),1,0)),"")</f>
        <v>0</v>
      </c>
      <c r="D3" s="9" t="n">
        <f aca="false">IF(AND(参与者填写!H3&lt;&gt;"",参与者填写!I3&lt;&gt;""),IF(AND(参与者填写!H3=比赛赛程!F4,参与者填写!I3=比赛赛程!G4),4,IF(SIGN(参与者填写!H3-参与者填写!I3)=SIGN(比赛赛程!F4-比赛赛程!G4),1,0)),"")</f>
        <v>0</v>
      </c>
      <c r="E3" s="9" t="n">
        <f aca="false">IF(AND(参与者填写!K3&lt;&gt;"",参与者填写!L3&lt;&gt;""),IF(AND(参与者填写!K3=比赛赛程!F5,参与者填写!L3=比赛赛程!G5),4,IF(SIGN(参与者填写!K3-参与者填写!L3)=SIGN(比赛赛程!F5-比赛赛程!G5),1,0)),"")</f>
        <v>1</v>
      </c>
      <c r="F3" s="9" t="n">
        <f aca="false">IF(AND(参与者填写!N3&lt;&gt;"",参与者填写!O3&lt;&gt;""),IF(AND(参与者填写!N3=比赛赛程!F6,参与者填写!O3=比赛赛程!G6),4,IF(SIGN(参与者填写!N3-参与者填写!O3)=SIGN(比赛赛程!F6-比赛赛程!G6),1,0)),"")</f>
        <v>0</v>
      </c>
      <c r="G3" s="9" t="n">
        <f aca="false">IF(AND(参与者填写!Q3&lt;&gt;"",参与者填写!R3&lt;&gt;""),IF(AND(参与者填写!Q3=比赛赛程!F7,参与者填写!R3=比赛赛程!G7),4,IF(SIGN(参与者填写!Q3-参与者填写!R3)=SIGN(比赛赛程!F7-比赛赛程!G7),1,0)),"")</f>
        <v>0</v>
      </c>
      <c r="H3" s="9" t="n">
        <f aca="false">IF(AND(参与者填写!T3&lt;&gt;"",参与者填写!U3&lt;&gt;""),IF(AND(参与者填写!T3=比赛赛程!F8,参与者填写!U3=比赛赛程!G8),4,IF(SIGN(参与者填写!T3-参与者填写!U3)=SIGN(比赛赛程!F8-比赛赛程!G8),1,0)),"")</f>
        <v>0</v>
      </c>
      <c r="I3" s="9" t="n">
        <f aca="false">IF(AND(参与者填写!W3&lt;&gt;"",参与者填写!X3&lt;&gt;""),IF(AND(参与者填写!W3=比赛赛程!F9,参与者填写!X3=比赛赛程!G9),4,IF(SIGN(参与者填写!W3-参与者填写!X3)=SIGN(比赛赛程!F9-比赛赛程!G9),1,0)),"")</f>
        <v>1</v>
      </c>
      <c r="J3" s="9" t="n">
        <f aca="false">IF(AND(参与者填写!Z3&lt;&gt;"",参与者填写!AA3&lt;&gt;""),IF(AND(参与者填写!Z3=比赛赛程!F10,参与者填写!AA3=比赛赛程!G10),4,IF(SIGN(参与者填写!Z3-参与者填写!AA3)=SIGN(比赛赛程!F10-比赛赛程!G10),1,0)),"")</f>
        <v>1</v>
      </c>
      <c r="K3" s="9" t="n">
        <f aca="false">IF(AND(参与者填写!AC3&lt;&gt;"",参与者填写!AD3&lt;&gt;""),IF(AND(参与者填写!AC3=比赛赛程!F11,参与者填写!AD3=比赛赛程!G11),4,IF(SIGN(参与者填写!AC3-参与者填写!AD3)=SIGN(比赛赛程!F11-比赛赛程!G11),1,0)),"")</f>
        <v>0</v>
      </c>
      <c r="L3" s="9" t="n">
        <f aca="false">IF(AND(参与者填写!AF3&lt;&gt;"",参与者填写!AG3&lt;&gt;""),IF(AND(参与者填写!AF3=比赛赛程!F12,参与者填写!AG3=比赛赛程!G12),4,IF(SIGN(参与者填写!AF3-参与者填写!AG3)=SIGN(比赛赛程!F12-比赛赛程!G12),1,0)),"")</f>
        <v>1</v>
      </c>
      <c r="M3" s="9" t="n">
        <f aca="false">IF(AND(参与者填写!AI3&lt;&gt;"",参与者填写!AJ3&lt;&gt;""),IF(AND(参与者填写!AI3=比赛赛程!F13,参与者填写!AJ3=比赛赛程!G13),4,IF(SIGN(参与者填写!AI3-参与者填写!AJ3)=SIGN(比赛赛程!F13-比赛赛程!G13),1,0)),"")</f>
        <v>0</v>
      </c>
      <c r="N3" s="9" t="n">
        <f aca="false">IF(AND(参与者填写!AL3&lt;&gt;"",参与者填写!AM3&lt;&gt;""),IF(AND(参与者填写!AL3=比赛赛程!F14,参与者填写!AM3=比赛赛程!G14),4,IF(SIGN(参与者填写!AL3-参与者填写!AM3)=SIGN(比赛赛程!F14-比赛赛程!G14),1,0)),"")</f>
        <v>0</v>
      </c>
      <c r="O3" s="9" t="n">
        <f aca="false">IF(AND(参与者填写!AO3&lt;&gt;"",参与者填写!AP3&lt;&gt;""),IF(AND(参与者填写!AO3=比赛赛程!F15,参与者填写!AP3=比赛赛程!G15),4,IF(SIGN(参与者填写!AO3-参与者填写!AP3)=SIGN(比赛赛程!F15-比赛赛程!G15),1,0)),"")</f>
        <v>0</v>
      </c>
      <c r="P3" s="9" t="n">
        <f aca="false">IF(AND(参与者填写!AR3&lt;&gt;"",参与者填写!AS3&lt;&gt;""),IF(AND(参与者填写!AR3=比赛赛程!F16,参与者填写!AS3=比赛赛程!G16),4,IF(SIGN(参与者填写!AR3-参与者填写!AS3)=SIGN(比赛赛程!F16-比赛赛程!G16),1,0)),"")</f>
        <v>0</v>
      </c>
      <c r="Q3" s="9" t="n">
        <f aca="false">IF(AND(参与者填写!AU3&lt;&gt;"",参与者填写!AV3&lt;&gt;""),IF(AND(参与者填写!AU3=比赛赛程!F17,参与者填写!AV3=比赛赛程!G17),4,IF(SIGN(参与者填写!AU3-参与者填写!AV3)=SIGN(比赛赛程!F17-比赛赛程!G17),1,0)),"")</f>
        <v>0</v>
      </c>
      <c r="R3" s="9" t="n">
        <f aca="false">IF(AND(参与者填写!AX3&lt;&gt;"",参与者填写!AY3&lt;&gt;""),IF(AND(参与者填写!AX3=比赛赛程!F18,参与者填写!AY3=比赛赛程!G18),4,IF(SIGN(参与者填写!AX3-参与者填写!AY3)=SIGN(比赛赛程!F18-比赛赛程!G18),1,0)),"")</f>
        <v>0</v>
      </c>
      <c r="S3" s="9" t="n">
        <f aca="false">IF(AND(参与者填写!BA3&lt;&gt;"",参与者填写!BB3&lt;&gt;""),IF(AND(参与者填写!BA3=比赛赛程!F19,参与者填写!BB3=比赛赛程!G19),4,IF(SIGN(参与者填写!BA3-参与者填写!BB3)=SIGN(比赛赛程!F19-比赛赛程!G19),1,0)),"")</f>
        <v>0</v>
      </c>
      <c r="T3" s="9" t="n">
        <f aca="false">IF(AND(参与者填写!BD3&lt;&gt;"",参与者填写!BE3&lt;&gt;""),IF(AND(参与者填写!BD3=比赛赛程!F20,参与者填写!BE3=比赛赛程!G20),4,IF(SIGN(参与者填写!BD3-参与者填写!BE3)=SIGN(比赛赛程!F20-比赛赛程!G20),1,0)),"")</f>
        <v>1</v>
      </c>
      <c r="U3" s="9" t="n">
        <f aca="false">IF(AND(参与者填写!BG3&lt;&gt;"",参与者填写!BH3&lt;&gt;""),IF(AND(参与者填写!BG3=比赛赛程!F21,参与者填写!BH3=比赛赛程!G21),4,IF(SIGN(参与者填写!BG3-参与者填写!BH3)=SIGN(比赛赛程!F21-比赛赛程!G21),1,0)),"")</f>
        <v>0</v>
      </c>
      <c r="V3" s="9" t="str">
        <f aca="false">IF(AND(参与者填写!BJ3&lt;&gt;"",参与者填写!BK3&lt;&gt;""),IF(AND(参与者填写!BJ3=比赛赛程!F22,参与者填写!BK3=比赛赛程!G22),4,IF(SIGN(参与者填写!BJ3-参与者填写!BK3)=SIGN(比赛赛程!F22-比赛赛程!G22),1,0)),"")</f>
        <v/>
      </c>
      <c r="W3" s="9" t="str">
        <f aca="false">IF(AND(参与者填写!BM3&lt;&gt;"",参与者填写!BN3&lt;&gt;""),IF(AND(参与者填写!BM3=比赛赛程!F23,参与者填写!BN3=比赛赛程!G23),4,IF(SIGN(参与者填写!BM3-参与者填写!BN3)=SIGN(比赛赛程!F23-比赛赛程!G23),1,0)),"")</f>
        <v/>
      </c>
      <c r="X3" s="9" t="str">
        <f aca="false">IF(AND(参与者填写!BP3&lt;&gt;"",参与者填写!BQ3&lt;&gt;""),IF(AND(参与者填写!BP3=比赛赛程!F24,参与者填写!BQ3=比赛赛程!G24),4,IF(SIGN(参与者填写!BP3-参与者填写!BQ3)=SIGN(比赛赛程!F24-比赛赛程!G24),1,0)),"")</f>
        <v/>
      </c>
      <c r="Y3" s="9" t="str">
        <f aca="false">IF(AND(参与者填写!BS3&lt;&gt;"",参与者填写!BT3&lt;&gt;""),IF(AND(参与者填写!BS3=比赛赛程!F25,参与者填写!BT3=比赛赛程!G25),4,IF(SIGN(参与者填写!BS3-参与者填写!BT3)=SIGN(比赛赛程!F25-比赛赛程!G25),1,0)),"")</f>
        <v/>
      </c>
      <c r="Z3" s="9" t="str">
        <f aca="false">IF(AND(参与者填写!BV3&lt;&gt;"",参与者填写!BW3&lt;&gt;""),IF(AND(参与者填写!BV3=比赛赛程!F26,参与者填写!BW3=比赛赛程!G26),4,IF(SIGN(参与者填写!BV3-参与者填写!BW3)=SIGN(比赛赛程!F26-比赛赛程!G26),1,0)),"")</f>
        <v/>
      </c>
      <c r="AA3" s="9" t="str">
        <f aca="false">IF(AND(参与者填写!BY3&lt;&gt;"",参与者填写!BZ3&lt;&gt;""),IF(AND(参与者填写!BY3=比赛赛程!F27,参与者填写!BZ3=比赛赛程!G27),4,IF(SIGN(参与者填写!BY3-参与者填写!BZ3)=SIGN(比赛赛程!F27-比赛赛程!G27),1,0)),"")</f>
        <v/>
      </c>
      <c r="AB3" s="9" t="str">
        <f aca="false">IF(AND(参与者填写!CB3&lt;&gt;"",参与者填写!CC3&lt;&gt;""),IF(AND(参与者填写!CB3=比赛赛程!F28,参与者填写!CC3=比赛赛程!G28),4,IF(SIGN(参与者填写!CB3-参与者填写!CC3)=SIGN(比赛赛程!F28-比赛赛程!G28),1,0)),"")</f>
        <v/>
      </c>
      <c r="AC3" s="9" t="str">
        <f aca="false">IF(AND(参与者填写!CE3&lt;&gt;"",参与者填写!CF3&lt;&gt;""),IF(AND(参与者填写!CE3=比赛赛程!F29,参与者填写!CF3=比赛赛程!G29),4,IF(SIGN(参与者填写!CE3-参与者填写!CF3)=SIGN(比赛赛程!F29-比赛赛程!G29),1,0)),"")</f>
        <v/>
      </c>
      <c r="AD3" s="9" t="str">
        <f aca="false">IF(AND(参与者填写!CH3&lt;&gt;"",参与者填写!CI3&lt;&gt;""),IF(AND(参与者填写!CH3=比赛赛程!F30,参与者填写!CI3=比赛赛程!G30),4,IF(SIGN(参与者填写!CH3-参与者填写!CI3)=SIGN(比赛赛程!F30-比赛赛程!G30),1,0)),"")</f>
        <v/>
      </c>
      <c r="AE3" s="9" t="str">
        <f aca="false">IF(AND(参与者填写!CK3&lt;&gt;"",参与者填写!CL3&lt;&gt;""),IF(AND(参与者填写!CK3=比赛赛程!F31,参与者填写!CL3=比赛赛程!G31),4,IF(SIGN(参与者填写!CK3-参与者填写!CL3)=SIGN(比赛赛程!F31-比赛赛程!G31),1,0)),"")</f>
        <v/>
      </c>
      <c r="AF3" s="9" t="str">
        <f aca="false">IF(AND(参与者填写!CN3&lt;&gt;"",参与者填写!CO3&lt;&gt;""),IF(AND(参与者填写!CN3=比赛赛程!F32,参与者填写!CO3=比赛赛程!G32),4,IF(SIGN(参与者填写!CN3-参与者填写!CO3)=SIGN(比赛赛程!F32-比赛赛程!G32),1,0)),"")</f>
        <v/>
      </c>
      <c r="AG3" s="9" t="str">
        <f aca="false">IF(AND(参与者填写!CQ3&lt;&gt;"",参与者填写!CR3&lt;&gt;""),IF(AND(参与者填写!CQ3=比赛赛程!F33,参与者填写!CR3=比赛赛程!G33),4,IF(SIGN(参与者填写!CQ3-参与者填写!CR3)=SIGN(比赛赛程!F33-比赛赛程!G33),1,0)),"")</f>
        <v/>
      </c>
      <c r="AH3" s="9" t="str">
        <f aca="false">IF(AND(参与者填写!CT3&lt;&gt;"",参与者填写!CU3&lt;&gt;""),IF(AND(参与者填写!CT3=比赛赛程!F34,参与者填写!CU3=比赛赛程!G34),4,IF(SIGN(参与者填写!CT3-参与者填写!CU3)=SIGN(比赛赛程!F34-比赛赛程!G34),1,0)),"")</f>
        <v/>
      </c>
      <c r="AI3" s="9" t="str">
        <f aca="false">IF(AND(参与者填写!CW3&lt;&gt;"",参与者填写!CX3&lt;&gt;""),IF(AND(参与者填写!CW3=比赛赛程!F35,参与者填写!CX3=比赛赛程!G35),4,IF(SIGN(参与者填写!CW3-参与者填写!CX3)=SIGN(比赛赛程!F35-比赛赛程!G35),1,0)),"")</f>
        <v/>
      </c>
      <c r="AJ3" s="9" t="str">
        <f aca="false">IF(AND(参与者填写!CZ3&lt;&gt;"",参与者填写!DA3&lt;&gt;""),IF(AND(参与者填写!CZ3=比赛赛程!F36,参与者填写!DA3=比赛赛程!G36),4,IF(SIGN(参与者填写!CZ3-参与者填写!DA3)=SIGN(比赛赛程!F36-比赛赛程!G36),1,0)),"")</f>
        <v/>
      </c>
      <c r="AK3" s="9" t="str">
        <f aca="false">IF(AND(参与者填写!DC3&lt;&gt;"",参与者填写!DD3&lt;&gt;""),IF(AND(参与者填写!DC3=比赛赛程!F37,参与者填写!DD3=比赛赛程!G37),4,IF(SIGN(参与者填写!DC3-参与者填写!DD3)=SIGN(比赛赛程!F37-比赛赛程!G37),1,0)),"")</f>
        <v/>
      </c>
      <c r="AL3" s="9" t="str">
        <f aca="false">IF(AND(参与者填写!DF3&lt;&gt;"",参与者填写!DG3&lt;&gt;""),IF(AND(参与者填写!DF3=比赛赛程!F38,参与者填写!DG3=比赛赛程!G38),4,IF(SIGN(参与者填写!DF3-参与者填写!DG3)=SIGN(比赛赛程!F38-比赛赛程!G38),1,0)),"")</f>
        <v/>
      </c>
      <c r="AM3" s="9" t="str">
        <f aca="false">IF(AND(参与者填写!DI3&lt;&gt;"",参与者填写!DJ3&lt;&gt;""),IF(AND(参与者填写!DI3=比赛赛程!F39,参与者填写!DJ3=比赛赛程!G39),4,IF(SIGN(参与者填写!DI3-参与者填写!DJ3)=SIGN(比赛赛程!F39-比赛赛程!G39),1,0)),"")</f>
        <v/>
      </c>
      <c r="AN3" s="9" t="str">
        <f aca="false">IF(AND(参与者填写!DL3&lt;&gt;"",参与者填写!DM3&lt;&gt;""),IF(AND(参与者填写!DL3=比赛赛程!F40,参与者填写!DM3=比赛赛程!G40),4,IF(SIGN(参与者填写!DL3-参与者填写!DM3)=SIGN(比赛赛程!F40-比赛赛程!G40),1,0)),"")</f>
        <v/>
      </c>
      <c r="AO3" s="9" t="str">
        <f aca="false">IF(AND(参与者填写!DO3&lt;&gt;"",参与者填写!DP3&lt;&gt;""),IF(AND(参与者填写!DO3=比赛赛程!F41,参与者填写!DP3=比赛赛程!G41),4,IF(SIGN(参与者填写!DO3-参与者填写!DP3)=SIGN(比赛赛程!F41-比赛赛程!G41),1,0)),"")</f>
        <v/>
      </c>
      <c r="AP3" s="9" t="str">
        <f aca="false">IF(AND(参与者填写!DR3&lt;&gt;"",参与者填写!DS3&lt;&gt;""),IF(AND(参与者填写!DR3=比赛赛程!F42,参与者填写!DS3=比赛赛程!G42),4,IF(SIGN(参与者填写!DR3-参与者填写!DS3)=SIGN(比赛赛程!F42-比赛赛程!G42),1,0)),"")</f>
        <v/>
      </c>
      <c r="AQ3" s="9" t="str">
        <f aca="false">IF(AND(参与者填写!DU3&lt;&gt;"",参与者填写!DV3&lt;&gt;""),IF(AND(参与者填写!DU3=比赛赛程!F43,参与者填写!DV3=比赛赛程!G43),4,IF(SIGN(参与者填写!DU3-参与者填写!DV3)=SIGN(比赛赛程!F43-比赛赛程!G43),1,0)),"")</f>
        <v/>
      </c>
      <c r="AR3" s="9" t="str">
        <f aca="false">IF(AND(参与者填写!DX3&lt;&gt;"",参与者填写!DY3&lt;&gt;""),IF(AND(参与者填写!DX3=比赛赛程!F44,参与者填写!DY3=比赛赛程!G44),4,IF(SIGN(参与者填写!DX3-参与者填写!DY3)=SIGN(比赛赛程!F44-比赛赛程!G44),1,0)),"")</f>
        <v/>
      </c>
      <c r="AS3" s="9" t="str">
        <f aca="false">IF(AND(参与者填写!EA3&lt;&gt;"",参与者填写!EB3&lt;&gt;""),IF(AND(参与者填写!EA3=比赛赛程!F45,参与者填写!EB3=比赛赛程!G45),4,IF(SIGN(参与者填写!EA3-参与者填写!EB3)=SIGN(比赛赛程!F45-比赛赛程!G45),1,0)),"")</f>
        <v/>
      </c>
      <c r="AT3" s="9" t="str">
        <f aca="false">IF(AND(参与者填写!ED3&lt;&gt;"",参与者填写!EE3&lt;&gt;""),IF(AND(参与者填写!ED3=比赛赛程!F46,参与者填写!EE3=比赛赛程!G46),4,IF(SIGN(参与者填写!ED3-参与者填写!EE3)=SIGN(比赛赛程!F46-比赛赛程!G46),1,0)),"")</f>
        <v/>
      </c>
      <c r="AU3" s="9" t="str">
        <f aca="false">IF(AND(参与者填写!EG3&lt;&gt;"",参与者填写!EH3&lt;&gt;""),IF(AND(参与者填写!EG3=比赛赛程!F47,参与者填写!EH3=比赛赛程!G47),4,IF(SIGN(参与者填写!EG3-参与者填写!EH3)=SIGN(比赛赛程!F47-比赛赛程!G47),1,0)),"")</f>
        <v/>
      </c>
      <c r="AV3" s="9" t="str">
        <f aca="false">IF(AND(参与者填写!EJ3&lt;&gt;"",参与者填写!EK3&lt;&gt;""),IF(AND(参与者填写!EJ3=比赛赛程!F48,参与者填写!EK3=比赛赛程!G48),4,IF(SIGN(参与者填写!EJ3-参与者填写!EK3)=SIGN(比赛赛程!F48-比赛赛程!G48),1,0)),"")</f>
        <v/>
      </c>
      <c r="AW3" s="9" t="str">
        <f aca="false">IF(AND(参与者填写!EM3&lt;&gt;"",参与者填写!EN3&lt;&gt;""),IF(AND(参与者填写!EM3=比赛赛程!F49,参与者填写!EN3=比赛赛程!G49),4,IF(SIGN(参与者填写!EM3-参与者填写!EN3)=SIGN(比赛赛程!F49-比赛赛程!G49),1,0)),"")</f>
        <v/>
      </c>
      <c r="AX3" s="9" t="str">
        <f aca="false">IF(AND(参与者填写!EP3&lt;&gt;"",参与者填写!EQ3&lt;&gt;""),IF(AND(参与者填写!EP3=比赛赛程!F50,参与者填写!EQ3=比赛赛程!G50),4,IF(SIGN(参与者填写!EP3-参与者填写!EQ3)=SIGN(比赛赛程!F50-比赛赛程!G50),1,0)),"")</f>
        <v/>
      </c>
      <c r="AY3" s="9" t="str">
        <f aca="false">IF(AND(参与者填写!ES3&lt;&gt;"",参与者填写!ET3&lt;&gt;""),IF(AND(参与者填写!ES3=比赛赛程!F51,参与者填写!ET3=比赛赛程!G51),4,IF(SIGN(参与者填写!ES3-参与者填写!ET3)=SIGN(比赛赛程!F51-比赛赛程!G51),1,0)),"")</f>
        <v/>
      </c>
      <c r="AZ3" s="9" t="str">
        <f aca="false">IF(AND(参与者填写!EV3&lt;&gt;"",参与者填写!EW3&lt;&gt;""),IF(AND(参与者填写!EV3=比赛赛程!F52,参与者填写!EW3=比赛赛程!G52),4,IF(SIGN(参与者填写!EV3-参与者填写!EW3)=SIGN(比赛赛程!F52-比赛赛程!G52),1,0)),"")</f>
        <v/>
      </c>
      <c r="BA3" s="9" t="str">
        <f aca="false">IF(AND(参与者填写!EY3&lt;&gt;"",参与者填写!EZ3&lt;&gt;""),IF(AND(参与者填写!EY3=比赛赛程!F53,参与者填写!EZ3=比赛赛程!G53),4,IF(SIGN(参与者填写!EY3-参与者填写!EZ3)=SIGN(比赛赛程!F53-比赛赛程!G53),1,0)),"")</f>
        <v/>
      </c>
      <c r="BB3" s="9" t="str">
        <f aca="false">IF(AND(参与者填写!FB3&lt;&gt;"",参与者填写!FC3&lt;&gt;""),IF(AND(参与者填写!FB3=比赛赛程!F54,参与者填写!FC3=比赛赛程!G54),4,IF(SIGN(参与者填写!FB3-参与者填写!FC3)=SIGN(比赛赛程!F54-比赛赛程!G54),1,0)),"")</f>
        <v/>
      </c>
      <c r="BC3" s="9" t="str">
        <f aca="false">IF(AND(参与者填写!FE3&lt;&gt;"",参与者填写!FF3&lt;&gt;""),IF(AND(参与者填写!FE3=比赛赛程!F55,参与者填写!FF3=比赛赛程!G55),4,IF(SIGN(参与者填写!FE3-参与者填写!FF3)=SIGN(比赛赛程!F55-比赛赛程!G55),1,0)),"")</f>
        <v/>
      </c>
      <c r="BD3" s="9" t="str">
        <f aca="false">IF(AND(参与者填写!FH3&lt;&gt;"",参与者填写!FI3&lt;&gt;""),IF(AND(参与者填写!FH3=比赛赛程!F56,参与者填写!FI3=比赛赛程!G56),4,IF(SIGN(参与者填写!FH3-参与者填写!FI3)=SIGN(比赛赛程!F56-比赛赛程!G56),1,0)),"")</f>
        <v/>
      </c>
      <c r="BE3" s="9" t="str">
        <f aca="false">IF(AND(参与者填写!FK3&lt;&gt;"",参与者填写!FL3&lt;&gt;""),IF(AND(参与者填写!FK3=比赛赛程!F57,参与者填写!FL3=比赛赛程!G57),4,IF(SIGN(参与者填写!FK3-参与者填写!FL3)=SIGN(比赛赛程!F57-比赛赛程!G57),1,0)),"")</f>
        <v/>
      </c>
      <c r="BF3" s="9" t="str">
        <f aca="false">IF(AND(参与者填写!FN3&lt;&gt;"",参与者填写!FO3&lt;&gt;""),IF(AND(参与者填写!FN3=比赛赛程!F58,参与者填写!FO3=比赛赛程!G58),4,IF(SIGN(参与者填写!FN3-参与者填写!FO3)=SIGN(比赛赛程!F58-比赛赛程!G58),1,0)),"")</f>
        <v/>
      </c>
      <c r="BG3" s="9" t="str">
        <f aca="false">IF(AND(参与者填写!FQ3&lt;&gt;"",参与者填写!FR3&lt;&gt;""),IF(AND(参与者填写!FQ3=比赛赛程!F59,参与者填写!FR3=比赛赛程!G59),4,IF(SIGN(参与者填写!FQ3-参与者填写!FR3)=SIGN(比赛赛程!F59-比赛赛程!G59),1,0)),"")</f>
        <v/>
      </c>
      <c r="BH3" s="9" t="str">
        <f aca="false">IF(AND(参与者填写!FT3&lt;&gt;"",参与者填写!FU3&lt;&gt;""),IF(AND(参与者填写!FT3=比赛赛程!F60,参与者填写!FU3=比赛赛程!G60),4,IF(SIGN(参与者填写!FT3-参与者填写!FU3)=SIGN(比赛赛程!F60-比赛赛程!G60),1,0)),"")</f>
        <v/>
      </c>
      <c r="BI3" s="9" t="str">
        <f aca="false">IF(AND(参与者填写!FW3&lt;&gt;"",参与者填写!FX3&lt;&gt;""),IF(AND(参与者填写!FW3=比赛赛程!F61,参与者填写!FX3=比赛赛程!G61),4,IF(SIGN(参与者填写!FW3-参与者填写!FX3)=SIGN(比赛赛程!F61-比赛赛程!G61),1,0)),"")</f>
        <v/>
      </c>
      <c r="BJ3" s="9" t="str">
        <f aca="false">IF(AND(参与者填写!FZ3&lt;&gt;"",参与者填写!GA3&lt;&gt;""),IF(AND(参与者填写!FZ3=比赛赛程!F62,参与者填写!GA3=比赛赛程!G62),4,IF(SIGN(参与者填写!FZ3-参与者填写!GA3)=SIGN(比赛赛程!F62-比赛赛程!G62),1,0)),"")</f>
        <v/>
      </c>
      <c r="BK3" s="9" t="str">
        <f aca="false">IF(AND(参与者填写!GC3&lt;&gt;"",参与者填写!GD3&lt;&gt;""),IF(AND(参与者填写!GC3=比赛赛程!F63,参与者填写!GD3=比赛赛程!G63),4,IF(SIGN(参与者填写!GC3-参与者填写!GD3)=SIGN(比赛赛程!F63-比赛赛程!G63),1,0)),"")</f>
        <v/>
      </c>
      <c r="BL3" s="9" t="str">
        <f aca="false">IF(AND(参与者填写!GF3&lt;&gt;"",参与者填写!GG3&lt;&gt;""),IF(AND(参与者填写!GF3=比赛赛程!F64,参与者填写!GG3=比赛赛程!G64),4,IF(SIGN(参与者填写!GF3-参与者填写!GG3)=SIGN(比赛赛程!F64-比赛赛程!G64),1,0)),"")</f>
        <v/>
      </c>
      <c r="BM3" s="9" t="str">
        <f aca="false">IF(AND(参与者填写!GI3&lt;&gt;"",参与者填写!GJ3&lt;&gt;""),IF(AND(参与者填写!GI3=比赛赛程!F65,参与者填写!GJ3=比赛赛程!G65),4,IF(SIGN(参与者填写!GI3-参与者填写!GJ3)=SIGN(比赛赛程!F65-比赛赛程!G65),1,0)),"")</f>
        <v/>
      </c>
      <c r="BN3" s="9" t="str">
        <f aca="false">IF(AND(参与者填写!GL3&lt;&gt;"",参与者填写!GM3&lt;&gt;""),IF(AND(参与者填写!GL3=比赛赛程!F66,参与者填写!GM3=比赛赛程!G66),4,IF(SIGN(参与者填写!GL3-参与者填写!GM3)=SIGN(比赛赛程!F66-比赛赛程!G66),1,0)),"")</f>
        <v/>
      </c>
      <c r="BO3" s="9" t="str">
        <f aca="false">IF(AND(参与者填写!GO3&lt;&gt;"",参与者填写!GP3&lt;&gt;""),IF(AND(参与者填写!GO3=比赛赛程!F67,参与者填写!GP3=比赛赛程!G67),4,IF(SIGN(参与者填写!GO3-参与者填写!GP3)=SIGN(比赛赛程!F67-比赛赛程!G67),1,0)),"")</f>
        <v/>
      </c>
      <c r="BP3" s="9" t="str">
        <f aca="false">IF(AND(参与者填写!GR3&lt;&gt;"",参与者填写!GS3&lt;&gt;""),IF(AND(参与者填写!GR3=比赛赛程!F68,参与者填写!GS3=比赛赛程!G68),4,IF(SIGN(参与者填写!GR3-参与者填写!GS3)=SIGN(比赛赛程!F68-比赛赛程!G68),1,0)),"")</f>
        <v/>
      </c>
      <c r="BQ3" s="9" t="str">
        <f aca="false">IF(AND(参与者填写!GU3&lt;&gt;"",参与者填写!GV3&lt;&gt;""),IF(AND(参与者填写!GU3=比赛赛程!F69,参与者填写!GV3=比赛赛程!G69),4,IF(SIGN(参与者填写!GU3-参与者填写!GV3)=SIGN(比赛赛程!F69-比赛赛程!G69),1,0)),"")</f>
        <v/>
      </c>
      <c r="BR3" s="9" t="str">
        <f aca="false">IF(AND(参与者填写!GX3&lt;&gt;"",参与者填写!GY3&lt;&gt;""),IF(AND(参与者填写!GX3=比赛赛程!F70,参与者填写!GY3=比赛赛程!G70),4,IF(SIGN(参与者填写!GX3-参与者填写!GY3)=SIGN(比赛赛程!F70-比赛赛程!G70),1,0)),"")</f>
        <v/>
      </c>
      <c r="BS3" s="9" t="str">
        <f aca="false">IF(AND(参与者填写!HA3&lt;&gt;"",参与者填写!HB3&lt;&gt;""),IF(AND(参与者填写!HA3=比赛赛程!F71,参与者填写!HB3=比赛赛程!G71),4,IF(SIGN(参与者填写!HA3-参与者填写!HB3)=SIGN(比赛赛程!F71-比赛赛程!G71),1,0)),"")</f>
        <v/>
      </c>
      <c r="BT3" s="9" t="str">
        <f aca="false">IF(AND(参与者填写!HD3&lt;&gt;"",参与者填写!HE3&lt;&gt;""),IF(AND(参与者填写!HD3=比赛赛程!F72,参与者填写!HE3=比赛赛程!G72),4,IF(SIGN(参与者填写!HD3-参与者填写!HE3)=SIGN(比赛赛程!F72-比赛赛程!G72),1,0)),"")</f>
        <v/>
      </c>
      <c r="BU3" s="9" t="str">
        <f aca="false">IF(AND(参与者填写!HG3&lt;&gt;"",参与者填写!HH3&lt;&gt;""),IF(AND(参与者填写!HG3=比赛赛程!F73,参与者填写!HH3=比赛赛程!G73),4,IF(SIGN(参与者填写!HG3-参与者填写!HH3)=SIGN(比赛赛程!F73-比赛赛程!G73),1,0)),"")</f>
        <v/>
      </c>
      <c r="BV3" s="9" t="str">
        <f aca="false">IF(AND(参与者填写!HJ3&lt;&gt;"",参与者填写!HK3&lt;&gt;""),IF(AND(参与者填写!HJ3=比赛赛程!F74,参与者填写!HK3=比赛赛程!G74),4,IF(SIGN(参与者填写!HJ3-参与者填写!HK3)=SIGN(比赛赛程!F74-比赛赛程!G74),1,0)),"")</f>
        <v/>
      </c>
      <c r="BW3" s="9" t="str">
        <f aca="false">IF(AND(参与者填写!HM3&lt;&gt;"",参与者填写!HN3&lt;&gt;""),IF(AND(参与者填写!HM3=比赛赛程!F75,参与者填写!HN3=比赛赛程!G75),4,IF(SIGN(参与者填写!HM3-参与者填写!HN3)=SIGN(比赛赛程!F75-比赛赛程!G75),1,0)),"")</f>
        <v/>
      </c>
      <c r="BX3" s="9" t="str">
        <f aca="false">IF(AND(参与者填写!HP3&lt;&gt;"",参与者填写!HQ3&lt;&gt;""),IF(AND(参与者填写!HP3=比赛赛程!F76,参与者填写!HQ3=比赛赛程!G76),4,IF(SIGN(参与者填写!HP3-参与者填写!HQ3)=SIGN(比赛赛程!F76-比赛赛程!G76),1,0)),"")</f>
        <v/>
      </c>
      <c r="BY3" s="9" t="str">
        <f aca="false">IF(AND(参与者填写!HS3&lt;&gt;"",参与者填写!HT3&lt;&gt;""),IF(AND(参与者填写!HS3=比赛赛程!F77,参与者填写!HT3=比赛赛程!G77),4,IF(SIGN(参与者填写!HS3-参与者填写!HT3)=SIGN(比赛赛程!F77-比赛赛程!G77),1,0)),"")</f>
        <v/>
      </c>
      <c r="BZ3" s="9" t="str">
        <f aca="false">IF(AND(参与者填写!HV3&lt;&gt;"",参与者填写!HW3&lt;&gt;""),IF(AND(参与者填写!HV3=比赛赛程!F78,参与者填写!HW3=比赛赛程!G78),4,IF(SIGN(参与者填写!HV3-参与者填写!HW3)=SIGN(比赛赛程!F78-比赛赛程!G78),1,0)),"")</f>
        <v/>
      </c>
      <c r="CA3" s="9" t="str">
        <f aca="false">IF(AND(参与者填写!HY3&lt;&gt;"",参与者填写!HZ3&lt;&gt;""),IF(AND(参与者填写!HY3=比赛赛程!F79,参与者填写!HZ3=比赛赛程!G79),4,IF(SIGN(参与者填写!HY3-参与者填写!HZ3)=SIGN(比赛赛程!F79-比赛赛程!G79),1,0)),"")</f>
        <v/>
      </c>
      <c r="CB3" s="9" t="str">
        <f aca="false">IF(AND(参与者填写!IB3&lt;&gt;"",参与者填写!IC3&lt;&gt;""),IF(AND(参与者填写!IB3=比赛赛程!F80,参与者填写!IC3=比赛赛程!G80),4,IF(SIGN(参与者填写!IB3-参与者填写!IC3)=SIGN(比赛赛程!F80-比赛赛程!G80),1,0)),"")</f>
        <v/>
      </c>
      <c r="CC3" s="9" t="str">
        <f aca="false">IF(AND(参与者填写!IE3&lt;&gt;"",参与者填写!IF3&lt;&gt;""),IF(AND(参与者填写!IE3=比赛赛程!F81,参与者填写!IF3=比赛赛程!G81),4,IF(SIGN(参与者填写!IE3-参与者填写!IF3)=SIGN(比赛赛程!F81-比赛赛程!G81),1,0)),"")</f>
        <v/>
      </c>
      <c r="CD3" s="9" t="str">
        <f aca="false">IF(AND(参与者填写!IH3&lt;&gt;"",参与者填写!II3&lt;&gt;""),IF(AND(参与者填写!IH3=比赛赛程!F82,参与者填写!II3=比赛赛程!G82),4,IF(SIGN(参与者填写!IH3-参与者填写!II3)=SIGN(比赛赛程!F82-比赛赛程!G82),1,0)),"")</f>
        <v/>
      </c>
      <c r="CE3" s="9" t="str">
        <f aca="false">IF(AND(参与者填写!IK3&lt;&gt;"",参与者填写!IL3&lt;&gt;""),IF(AND(参与者填写!IK3=比赛赛程!F83,参与者填写!IL3=比赛赛程!G83),4,IF(SIGN(参与者填写!IK3-参与者填写!IL3)=SIGN(比赛赛程!F83-比赛赛程!G83),1,0)),"")</f>
        <v/>
      </c>
      <c r="CF3" s="9" t="str">
        <f aca="false">IF(AND(参与者填写!IN3&lt;&gt;"",参与者填写!IO3&lt;&gt;""),IF(AND(参与者填写!IN3=比赛赛程!F84,参与者填写!IO3=比赛赛程!G84),4,IF(SIGN(参与者填写!IN3-参与者填写!IO3)=SIGN(比赛赛程!F84-比赛赛程!G84),1,0)),"")</f>
        <v/>
      </c>
      <c r="CG3" s="9" t="str">
        <f aca="false">IF(AND(参与者填写!IQ3&lt;&gt;"",参与者填写!IR3&lt;&gt;""),IF(AND(参与者填写!IQ3=比赛赛程!F85,参与者填写!IR3=比赛赛程!G85),4,IF(SIGN(参与者填写!IQ3-参与者填写!IR3)=SIGN(比赛赛程!F85-比赛赛程!G85),1,0)),"")</f>
        <v/>
      </c>
      <c r="CH3" s="9" t="str">
        <f aca="false">IF(AND(参与者填写!IT3&lt;&gt;"",参与者填写!IU3&lt;&gt;""),IF(AND(参与者填写!IT3=比赛赛程!F86,参与者填写!IU3=比赛赛程!G86),4,IF(SIGN(参与者填写!IT3-参与者填写!IU3)=SIGN(比赛赛程!F86-比赛赛程!G86),1,0)),"")</f>
        <v/>
      </c>
      <c r="CI3" s="9" t="str">
        <f aca="false">IF(AND(参与者填写!IW3&lt;&gt;"",参与者填写!IX3&lt;&gt;""),IF(AND(参与者填写!IW3=比赛赛程!F87,参与者填写!IX3=比赛赛程!G87),4,IF(SIGN(参与者填写!IW3-参与者填写!IX3)=SIGN(比赛赛程!F87-比赛赛程!G87),1,0)),"")</f>
        <v/>
      </c>
      <c r="CJ3" s="9" t="str">
        <f aca="false">IF(AND(参与者填写!IZ3&lt;&gt;"",参与者填写!JA3&lt;&gt;""),IF(AND(参与者填写!IZ3=比赛赛程!F88,参与者填写!JA3=比赛赛程!G88),4,IF(SIGN(参与者填写!IZ3-参与者填写!JA3)=SIGN(比赛赛程!F88-比赛赛程!G88),1,0)),"")</f>
        <v/>
      </c>
      <c r="CK3" s="9" t="str">
        <f aca="false">IF(AND(参与者填写!JC3&lt;&gt;"",参与者填写!JD3&lt;&gt;""),IF(AND(参与者填写!JC3=比赛赛程!F89,参与者填写!JD3=比赛赛程!G89),4,IF(SIGN(参与者填写!JC3-参与者填写!JD3)=SIGN(比赛赛程!F89-比赛赛程!G89),1,0)),"")</f>
        <v/>
      </c>
      <c r="CL3" s="9" t="str">
        <f aca="false">IF(AND(参与者填写!JF3&lt;&gt;"",参与者填写!JG3&lt;&gt;""),IF(AND(参与者填写!JF3=比赛赛程!F90,参与者填写!JG3=比赛赛程!G90),4,IF(SIGN(参与者填写!JF3-参与者填写!JG3)=SIGN(比赛赛程!F90-比赛赛程!G90),1,0)),"")</f>
        <v/>
      </c>
      <c r="CM3" s="9" t="str">
        <f aca="false">IF(AND(参与者填写!JI3&lt;&gt;"",参与者填写!JJ3&lt;&gt;""),IF(AND(参与者填写!JI3=比赛赛程!F91,参与者填写!JJ3=比赛赛程!G91),4,IF(SIGN(参与者填写!JI3-参与者填写!JJ3)=SIGN(比赛赛程!F91-比赛赛程!G91),1,0)),"")</f>
        <v/>
      </c>
      <c r="CN3" s="9" t="str">
        <f aca="false">IF(AND(参与者填写!JL3&lt;&gt;"",参与者填写!JM3&lt;&gt;""),IF(AND(参与者填写!JL3=比赛赛程!F92,参与者填写!JM3=比赛赛程!G92),4,IF(SIGN(参与者填写!JL3-参与者填写!JM3)=SIGN(比赛赛程!F92-比赛赛程!G92),1,0)),"")</f>
        <v/>
      </c>
      <c r="CO3" s="9" t="str">
        <f aca="false">IF(AND(参与者填写!JO3&lt;&gt;"",参与者填写!JP3&lt;&gt;""),IF(AND(参与者填写!JO3=比赛赛程!F93,参与者填写!JP3=比赛赛程!G93),4,IF(SIGN(参与者填写!JO3-参与者填写!JP3)=SIGN(比赛赛程!F93-比赛赛程!G93),1,0)),"")</f>
        <v/>
      </c>
      <c r="CP3" s="9" t="str">
        <f aca="false">IF(AND(参与者填写!JR3&lt;&gt;"",参与者填写!JS3&lt;&gt;""),IF(AND(参与者填写!JR3=比赛赛程!F94,参与者填写!JS3=比赛赛程!G94),4,IF(SIGN(参与者填写!JR3-参与者填写!JS3)=SIGN(比赛赛程!F94-比赛赛程!G94),1,0)),"")</f>
        <v/>
      </c>
      <c r="CQ3" s="9" t="str">
        <f aca="false">IF(AND(参与者填写!JU3&lt;&gt;"",参与者填写!JV3&lt;&gt;""),IF(AND(参与者填写!JU3=比赛赛程!F95,参与者填写!JV3=比赛赛程!G95),4,IF(SIGN(参与者填写!JU3-参与者填写!JV3)=SIGN(比赛赛程!F95-比赛赛程!G95),1,0)),"")</f>
        <v/>
      </c>
      <c r="CR3" s="9" t="str">
        <f aca="false">IF(AND(参与者填写!JX3&lt;&gt;"",参与者填写!JY3&lt;&gt;""),IF(AND(参与者填写!JX3=比赛赛程!F96,参与者填写!JY3=比赛赛程!G96),4,IF(SIGN(参与者填写!JX3-参与者填写!JY3)=SIGN(比赛赛程!F96-比赛赛程!G96),1,0)),"")</f>
        <v/>
      </c>
      <c r="CS3" s="9" t="str">
        <f aca="false">IF(AND(参与者填写!KA3&lt;&gt;"",参与者填写!KB3&lt;&gt;""),IF(AND(参与者填写!KA3=比赛赛程!F97,参与者填写!KB3=比赛赛程!G97),4,IF(SIGN(参与者填写!KA3-参与者填写!KB3)=SIGN(比赛赛程!F97-比赛赛程!G97),1,0)),"")</f>
        <v/>
      </c>
      <c r="CT3" s="9" t="str">
        <f aca="false">IF(AND(参与者填写!KD3&lt;&gt;"",参与者填写!KE3&lt;&gt;""),IF(AND(参与者填写!KD3=比赛赛程!F98,参与者填写!KE3=比赛赛程!G98),4,IF(SIGN(参与者填写!KD3-参与者填写!KE3)=SIGN(比赛赛程!F98-比赛赛程!G98),1,0)),"")</f>
        <v/>
      </c>
      <c r="CU3" s="9" t="str">
        <f aca="false">IF(AND(参与者填写!KG3&lt;&gt;"",参与者填写!KH3&lt;&gt;""),IF(AND(参与者填写!KG3=比赛赛程!F99,参与者填写!KH3=比赛赛程!G99),4,IF(SIGN(参与者填写!KG3-参与者填写!KH3)=SIGN(比赛赛程!F99-比赛赛程!G99),1,0)),"")</f>
        <v/>
      </c>
      <c r="CV3" s="9" t="str">
        <f aca="false">IF(AND(参与者填写!KJ3&lt;&gt;"",参与者填写!KK3&lt;&gt;""),IF(AND(参与者填写!KJ3=比赛赛程!F100,参与者填写!KK3=比赛赛程!G100),4,IF(SIGN(参与者填写!KJ3-参与者填写!KK3)=SIGN(比赛赛程!F100-比赛赛程!G100),1,0)),"")</f>
        <v/>
      </c>
      <c r="CW3" s="9" t="str">
        <f aca="false">IF(AND(参与者填写!KM3&lt;&gt;"",参与者填写!KN3&lt;&gt;""),IF(AND(参与者填写!KM3=比赛赛程!F101,参与者填写!KN3=比赛赛程!G101),4,IF(SIGN(参与者填写!KM3-参与者填写!KN3)=SIGN(比赛赛程!F101-比赛赛程!G101),1,0)),"")</f>
        <v/>
      </c>
      <c r="CX3" s="9" t="str">
        <f aca="false">IF(AND(参与者填写!KP3&lt;&gt;"",参与者填写!KQ3&lt;&gt;""),IF(AND(参与者填写!KP3=比赛赛程!F102,参与者填写!KQ3=比赛赛程!G102),4,IF(SIGN(参与者填写!KP3-参与者填写!KQ3)=SIGN(比赛赛程!F102-比赛赛程!G102),1,0)),"")</f>
        <v/>
      </c>
      <c r="CY3" s="9" t="str">
        <f aca="false">IF(AND(参与者填写!KS3&lt;&gt;"",参与者填写!KT3&lt;&gt;""),IF(AND(参与者填写!KS3=比赛赛程!F103,参与者填写!KT3=比赛赛程!G103),4,IF(SIGN(参与者填写!KS3-参与者填写!KT3)=SIGN(比赛赛程!F103-比赛赛程!G103),1,0)),"")</f>
        <v/>
      </c>
      <c r="CZ3" s="9" t="str">
        <f aca="false">IF(AND(参与者填写!KV3&lt;&gt;"",参与者填写!KW3&lt;&gt;""),IF(AND(参与者填写!KV3=比赛赛程!F104,参与者填写!KW3=比赛赛程!G104),4,IF(SIGN(参与者填写!KV3-参与者填写!KW3)=SIGN(比赛赛程!F104-比赛赛程!G104),1,0)),"")</f>
        <v/>
      </c>
      <c r="DA3" s="9" t="str">
        <f aca="false">IF(AND(参与者填写!KY3&lt;&gt;"",参与者填写!KZ3&lt;&gt;""),IF(AND(参与者填写!KY3=比赛赛程!F105,参与者填写!KZ3=比赛赛程!G105),4,IF(SIGN(参与者填写!KY3-参与者填写!KZ3)=SIGN(比赛赛程!F105-比赛赛程!G105),1,0)),"")</f>
        <v/>
      </c>
    </row>
    <row r="4" customFormat="false" ht="19.5" hidden="false" customHeight="true" outlineLevel="0" collapsed="false">
      <c r="A4" s="8" t="s">
        <v>217</v>
      </c>
      <c r="B4" s="9" t="n">
        <f aca="false">IF(AND(参与者填写!B4&lt;&gt;"",参与者填写!C4&lt;&gt;""),IF(AND(参与者填写!B4=比赛赛程!F2,参与者填写!C4=比赛赛程!G2),4,IF(SIGN(参与者填写!B4-参与者填写!C4)=SIGN(比赛赛程!F2-比赛赛程!G2),1,0)),"")</f>
        <v>0</v>
      </c>
      <c r="C4" s="9" t="n">
        <f aca="false">IF(AND(参与者填写!E4&lt;&gt;"",参与者填写!F4&lt;&gt;""),IF(AND(参与者填写!E4=比赛赛程!F3,参与者填写!F4=比赛赛程!G3),4,IF(SIGN(参与者填写!E4-参与者填写!F4)=SIGN(比赛赛程!F3-比赛赛程!G3),1,0)),"")</f>
        <v>0</v>
      </c>
      <c r="D4" s="9" t="n">
        <f aca="false">IF(AND(参与者填写!H4&lt;&gt;"",参与者填写!I4&lt;&gt;""),IF(AND(参与者填写!H4=比赛赛程!F4,参与者填写!I4=比赛赛程!G4),4,IF(SIGN(参与者填写!H4-参与者填写!I4)=SIGN(比赛赛程!F4-比赛赛程!G4),1,0)),"")</f>
        <v>0</v>
      </c>
      <c r="E4" s="9" t="n">
        <f aca="false">IF(AND(参与者填写!K4&lt;&gt;"",参与者填写!L4&lt;&gt;""),IF(AND(参与者填写!K4=比赛赛程!F5,参与者填写!L4=比赛赛程!G5),4,IF(SIGN(参与者填写!K4-参与者填写!L4)=SIGN(比赛赛程!F5-比赛赛程!G5),1,0)),"")</f>
        <v>4</v>
      </c>
      <c r="F4" s="9" t="n">
        <f aca="false">IF(AND(参与者填写!N4&lt;&gt;"",参与者填写!O4&lt;&gt;""),IF(AND(参与者填写!N4=比赛赛程!F6,参与者填写!O4=比赛赛程!G6),4,IF(SIGN(参与者填写!N4-参与者填写!O4)=SIGN(比赛赛程!F6-比赛赛程!G6),1,0)),"")</f>
        <v>1</v>
      </c>
      <c r="G4" s="9" t="n">
        <f aca="false">IF(AND(参与者填写!Q4&lt;&gt;"",参与者填写!R4&lt;&gt;""),IF(AND(参与者填写!Q4=比赛赛程!F7,参与者填写!R4=比赛赛程!G7),4,IF(SIGN(参与者填写!Q4-参与者填写!R4)=SIGN(比赛赛程!F7-比赛赛程!G7),1,0)),"")</f>
        <v>0</v>
      </c>
      <c r="H4" s="9" t="n">
        <f aca="false">IF(AND(参与者填写!T4&lt;&gt;"",参与者填写!U4&lt;&gt;""),IF(AND(参与者填写!T4=比赛赛程!F8,参与者填写!U4=比赛赛程!G8),4,IF(SIGN(参与者填写!T4-参与者填写!U4)=SIGN(比赛赛程!F8-比赛赛程!G8),1,0)),"")</f>
        <v>0</v>
      </c>
      <c r="I4" s="9" t="n">
        <f aca="false">IF(AND(参与者填写!W4&lt;&gt;"",参与者填写!X4&lt;&gt;""),IF(AND(参与者填写!W4=比赛赛程!F9,参与者填写!X4=比赛赛程!G9),4,IF(SIGN(参与者填写!W4-参与者填写!X4)=SIGN(比赛赛程!F9-比赛赛程!G9),1,0)),"")</f>
        <v>0</v>
      </c>
      <c r="J4" s="9" t="n">
        <f aca="false">IF(AND(参与者填写!Z4&lt;&gt;"",参与者填写!AA4&lt;&gt;""),IF(AND(参与者填写!Z4=比赛赛程!F10,参与者填写!AA4=比赛赛程!G10),4,IF(SIGN(参与者填写!Z4-参与者填写!AA4)=SIGN(比赛赛程!F10-比赛赛程!G10),1,0)),"")</f>
        <v>1</v>
      </c>
      <c r="K4" s="9" t="n">
        <f aca="false">IF(AND(参与者填写!AC4&lt;&gt;"",参与者填写!AD4&lt;&gt;""),IF(AND(参与者填写!AC4=比赛赛程!F11,参与者填写!AD4=比赛赛程!G11),4,IF(SIGN(参与者填写!AC4-参与者填写!AD4)=SIGN(比赛赛程!F11-比赛赛程!G11),1,0)),"")</f>
        <v>0</v>
      </c>
      <c r="L4" s="9" t="n">
        <f aca="false">IF(AND(参与者填写!AF4&lt;&gt;"",参与者填写!AG4&lt;&gt;""),IF(AND(参与者填写!AF4=比赛赛程!F12,参与者填写!AG4=比赛赛程!G12),4,IF(SIGN(参与者填写!AF4-参与者填写!AG4)=SIGN(比赛赛程!F12-比赛赛程!G12),1,0)),"")</f>
        <v>0</v>
      </c>
      <c r="M4" s="9" t="n">
        <f aca="false">IF(AND(参与者填写!AI4&lt;&gt;"",参与者填写!AJ4&lt;&gt;""),IF(AND(参与者填写!AI4=比赛赛程!F13,参与者填写!AJ4=比赛赛程!G13),4,IF(SIGN(参与者填写!AI4-参与者填写!AJ4)=SIGN(比赛赛程!F13-比赛赛程!G13),1,0)),"")</f>
        <v>0</v>
      </c>
      <c r="N4" s="9" t="n">
        <f aca="false">IF(AND(参与者填写!AL4&lt;&gt;"",参与者填写!AM4&lt;&gt;""),IF(AND(参与者填写!AL4=比赛赛程!F14,参与者填写!AM4=比赛赛程!G14),4,IF(SIGN(参与者填写!AL4-参与者填写!AM4)=SIGN(比赛赛程!F14-比赛赛程!G14),1,0)),"")</f>
        <v>0</v>
      </c>
      <c r="O4" s="9" t="n">
        <f aca="false">IF(AND(参与者填写!AO4&lt;&gt;"",参与者填写!AP4&lt;&gt;""),IF(AND(参与者填写!AO4=比赛赛程!F15,参与者填写!AP4=比赛赛程!G15),4,IF(SIGN(参与者填写!AO4-参与者填写!AP4)=SIGN(比赛赛程!F15-比赛赛程!G15),1,0)),"")</f>
        <v>0</v>
      </c>
      <c r="P4" s="9" t="n">
        <f aca="false">IF(AND(参与者填写!AR4&lt;&gt;"",参与者填写!AS4&lt;&gt;""),IF(AND(参与者填写!AR4=比赛赛程!F16,参与者填写!AS4=比赛赛程!G16),4,IF(SIGN(参与者填写!AR4-参与者填写!AS4)=SIGN(比赛赛程!F16-比赛赛程!G16),1,0)),"")</f>
        <v>0</v>
      </c>
      <c r="Q4" s="9" t="n">
        <f aca="false">IF(AND(参与者填写!AU4&lt;&gt;"",参与者填写!AV4&lt;&gt;""),IF(AND(参与者填写!AU4=比赛赛程!F17,参与者填写!AV4=比赛赛程!G17),4,IF(SIGN(参与者填写!AU4-参与者填写!AV4)=SIGN(比赛赛程!F17-比赛赛程!G17),1,0)),"")</f>
        <v>0</v>
      </c>
      <c r="R4" s="9" t="n">
        <f aca="false">IF(AND(参与者填写!AX4&lt;&gt;"",参与者填写!AY4&lt;&gt;""),IF(AND(参与者填写!AX4=比赛赛程!F18,参与者填写!AY4=比赛赛程!G18),4,IF(SIGN(参与者填写!AX4-参与者填写!AY4)=SIGN(比赛赛程!F18-比赛赛程!G18),1,0)),"")</f>
        <v>0</v>
      </c>
      <c r="S4" s="9" t="n">
        <f aca="false">IF(AND(参与者填写!BA4&lt;&gt;"",参与者填写!BB4&lt;&gt;""),IF(AND(参与者填写!BA4=比赛赛程!F19,参与者填写!BB4=比赛赛程!G19),4,IF(SIGN(参与者填写!BA4-参与者填写!BB4)=SIGN(比赛赛程!F19-比赛赛程!G19),1,0)),"")</f>
        <v>0</v>
      </c>
      <c r="T4" s="9" t="n">
        <f aca="false">IF(AND(参与者填写!BD4&lt;&gt;"",参与者填写!BE4&lt;&gt;""),IF(AND(参与者填写!BD4=比赛赛程!F20,参与者填写!BE4=比赛赛程!G20),4,IF(SIGN(参与者填写!BD4-参与者填写!BE4)=SIGN(比赛赛程!F20-比赛赛程!G20),1,0)),"")</f>
        <v>1</v>
      </c>
      <c r="U4" s="9" t="n">
        <f aca="false">IF(AND(参与者填写!BG4&lt;&gt;"",参与者填写!BH4&lt;&gt;""),IF(AND(参与者填写!BG4=比赛赛程!F21,参与者填写!BH4=比赛赛程!G21),4,IF(SIGN(参与者填写!BG4-参与者填写!BH4)=SIGN(比赛赛程!F21-比赛赛程!G21),1,0)),"")</f>
        <v>1</v>
      </c>
      <c r="V4" s="9" t="str">
        <f aca="false">IF(AND(参与者填写!BJ4&lt;&gt;"",参与者填写!BK4&lt;&gt;""),IF(AND(参与者填写!BJ4=比赛赛程!F22,参与者填写!BK4=比赛赛程!G22),4,IF(SIGN(参与者填写!BJ4-参与者填写!BK4)=SIGN(比赛赛程!F22-比赛赛程!G22),1,0)),"")</f>
        <v/>
      </c>
      <c r="W4" s="9" t="str">
        <f aca="false">IF(AND(参与者填写!BM4&lt;&gt;"",参与者填写!BN4&lt;&gt;""),IF(AND(参与者填写!BM4=比赛赛程!F23,参与者填写!BN4=比赛赛程!G23),4,IF(SIGN(参与者填写!BM4-参与者填写!BN4)=SIGN(比赛赛程!F23-比赛赛程!G23),1,0)),"")</f>
        <v/>
      </c>
      <c r="X4" s="9" t="str">
        <f aca="false">IF(AND(参与者填写!BP4&lt;&gt;"",参与者填写!BQ4&lt;&gt;""),IF(AND(参与者填写!BP4=比赛赛程!F24,参与者填写!BQ4=比赛赛程!G24),4,IF(SIGN(参与者填写!BP4-参与者填写!BQ4)=SIGN(比赛赛程!F24-比赛赛程!G24),1,0)),"")</f>
        <v/>
      </c>
      <c r="Y4" s="9" t="str">
        <f aca="false">IF(AND(参与者填写!BS4&lt;&gt;"",参与者填写!BT4&lt;&gt;""),IF(AND(参与者填写!BS4=比赛赛程!F25,参与者填写!BT4=比赛赛程!G25),4,IF(SIGN(参与者填写!BS4-参与者填写!BT4)=SIGN(比赛赛程!F25-比赛赛程!G25),1,0)),"")</f>
        <v/>
      </c>
      <c r="Z4" s="9" t="str">
        <f aca="false">IF(AND(参与者填写!BV4&lt;&gt;"",参与者填写!BW4&lt;&gt;""),IF(AND(参与者填写!BV4=比赛赛程!F26,参与者填写!BW4=比赛赛程!G26),4,IF(SIGN(参与者填写!BV4-参与者填写!BW4)=SIGN(比赛赛程!F26-比赛赛程!G26),1,0)),"")</f>
        <v/>
      </c>
      <c r="AA4" s="9" t="str">
        <f aca="false">IF(AND(参与者填写!BY4&lt;&gt;"",参与者填写!BZ4&lt;&gt;""),IF(AND(参与者填写!BY4=比赛赛程!F27,参与者填写!BZ4=比赛赛程!G27),4,IF(SIGN(参与者填写!BY4-参与者填写!BZ4)=SIGN(比赛赛程!F27-比赛赛程!G27),1,0)),"")</f>
        <v/>
      </c>
      <c r="AB4" s="9" t="str">
        <f aca="false">IF(AND(参与者填写!CB4&lt;&gt;"",参与者填写!CC4&lt;&gt;""),IF(AND(参与者填写!CB4=比赛赛程!F28,参与者填写!CC4=比赛赛程!G28),4,IF(SIGN(参与者填写!CB4-参与者填写!CC4)=SIGN(比赛赛程!F28-比赛赛程!G28),1,0)),"")</f>
        <v/>
      </c>
      <c r="AC4" s="9" t="str">
        <f aca="false">IF(AND(参与者填写!CE4&lt;&gt;"",参与者填写!CF4&lt;&gt;""),IF(AND(参与者填写!CE4=比赛赛程!F29,参与者填写!CF4=比赛赛程!G29),4,IF(SIGN(参与者填写!CE4-参与者填写!CF4)=SIGN(比赛赛程!F29-比赛赛程!G29),1,0)),"")</f>
        <v/>
      </c>
      <c r="AD4" s="9" t="str">
        <f aca="false">IF(AND(参与者填写!CH4&lt;&gt;"",参与者填写!CI4&lt;&gt;""),IF(AND(参与者填写!CH4=比赛赛程!F30,参与者填写!CI4=比赛赛程!G30),4,IF(SIGN(参与者填写!CH4-参与者填写!CI4)=SIGN(比赛赛程!F30-比赛赛程!G30),1,0)),"")</f>
        <v/>
      </c>
      <c r="AE4" s="9" t="str">
        <f aca="false">IF(AND(参与者填写!CK4&lt;&gt;"",参与者填写!CL4&lt;&gt;""),IF(AND(参与者填写!CK4=比赛赛程!F31,参与者填写!CL4=比赛赛程!G31),4,IF(SIGN(参与者填写!CK4-参与者填写!CL4)=SIGN(比赛赛程!F31-比赛赛程!G31),1,0)),"")</f>
        <v/>
      </c>
      <c r="AF4" s="9" t="str">
        <f aca="false">IF(AND(参与者填写!CN4&lt;&gt;"",参与者填写!CO4&lt;&gt;""),IF(AND(参与者填写!CN4=比赛赛程!F32,参与者填写!CO4=比赛赛程!G32),4,IF(SIGN(参与者填写!CN4-参与者填写!CO4)=SIGN(比赛赛程!F32-比赛赛程!G32),1,0)),"")</f>
        <v/>
      </c>
      <c r="AG4" s="9" t="str">
        <f aca="false">IF(AND(参与者填写!CQ4&lt;&gt;"",参与者填写!CR4&lt;&gt;""),IF(AND(参与者填写!CQ4=比赛赛程!F33,参与者填写!CR4=比赛赛程!G33),4,IF(SIGN(参与者填写!CQ4-参与者填写!CR4)=SIGN(比赛赛程!F33-比赛赛程!G33),1,0)),"")</f>
        <v/>
      </c>
      <c r="AH4" s="9" t="str">
        <f aca="false">IF(AND(参与者填写!CT4&lt;&gt;"",参与者填写!CU4&lt;&gt;""),IF(AND(参与者填写!CT4=比赛赛程!F34,参与者填写!CU4=比赛赛程!G34),4,IF(SIGN(参与者填写!CT4-参与者填写!CU4)=SIGN(比赛赛程!F34-比赛赛程!G34),1,0)),"")</f>
        <v/>
      </c>
      <c r="AI4" s="9" t="str">
        <f aca="false">IF(AND(参与者填写!CW4&lt;&gt;"",参与者填写!CX4&lt;&gt;""),IF(AND(参与者填写!CW4=比赛赛程!F35,参与者填写!CX4=比赛赛程!G35),4,IF(SIGN(参与者填写!CW4-参与者填写!CX4)=SIGN(比赛赛程!F35-比赛赛程!G35),1,0)),"")</f>
        <v/>
      </c>
      <c r="AJ4" s="9" t="str">
        <f aca="false">IF(AND(参与者填写!CZ4&lt;&gt;"",参与者填写!DA4&lt;&gt;""),IF(AND(参与者填写!CZ4=比赛赛程!F36,参与者填写!DA4=比赛赛程!G36),4,IF(SIGN(参与者填写!CZ4-参与者填写!DA4)=SIGN(比赛赛程!F36-比赛赛程!G36),1,0)),"")</f>
        <v/>
      </c>
      <c r="AK4" s="9" t="str">
        <f aca="false">IF(AND(参与者填写!DC4&lt;&gt;"",参与者填写!DD4&lt;&gt;""),IF(AND(参与者填写!DC4=比赛赛程!F37,参与者填写!DD4=比赛赛程!G37),4,IF(SIGN(参与者填写!DC4-参与者填写!DD4)=SIGN(比赛赛程!F37-比赛赛程!G37),1,0)),"")</f>
        <v/>
      </c>
      <c r="AL4" s="9" t="str">
        <f aca="false">IF(AND(参与者填写!DF4&lt;&gt;"",参与者填写!DG4&lt;&gt;""),IF(AND(参与者填写!DF4=比赛赛程!F38,参与者填写!DG4=比赛赛程!G38),4,IF(SIGN(参与者填写!DF4-参与者填写!DG4)=SIGN(比赛赛程!F38-比赛赛程!G38),1,0)),"")</f>
        <v/>
      </c>
      <c r="AM4" s="9" t="str">
        <f aca="false">IF(AND(参与者填写!DI4&lt;&gt;"",参与者填写!DJ4&lt;&gt;""),IF(AND(参与者填写!DI4=比赛赛程!F39,参与者填写!DJ4=比赛赛程!G39),4,IF(SIGN(参与者填写!DI4-参与者填写!DJ4)=SIGN(比赛赛程!F39-比赛赛程!G39),1,0)),"")</f>
        <v/>
      </c>
      <c r="AN4" s="9" t="str">
        <f aca="false">IF(AND(参与者填写!DL4&lt;&gt;"",参与者填写!DM4&lt;&gt;""),IF(AND(参与者填写!DL4=比赛赛程!F40,参与者填写!DM4=比赛赛程!G40),4,IF(SIGN(参与者填写!DL4-参与者填写!DM4)=SIGN(比赛赛程!F40-比赛赛程!G40),1,0)),"")</f>
        <v/>
      </c>
      <c r="AO4" s="9" t="str">
        <f aca="false">IF(AND(参与者填写!DO4&lt;&gt;"",参与者填写!DP4&lt;&gt;""),IF(AND(参与者填写!DO4=比赛赛程!F41,参与者填写!DP4=比赛赛程!G41),4,IF(SIGN(参与者填写!DO4-参与者填写!DP4)=SIGN(比赛赛程!F41-比赛赛程!G41),1,0)),"")</f>
        <v/>
      </c>
      <c r="AP4" s="9" t="str">
        <f aca="false">IF(AND(参与者填写!DR4&lt;&gt;"",参与者填写!DS4&lt;&gt;""),IF(AND(参与者填写!DR4=比赛赛程!F42,参与者填写!DS4=比赛赛程!G42),4,IF(SIGN(参与者填写!DR4-参与者填写!DS4)=SIGN(比赛赛程!F42-比赛赛程!G42),1,0)),"")</f>
        <v/>
      </c>
      <c r="AQ4" s="9" t="str">
        <f aca="false">IF(AND(参与者填写!DU4&lt;&gt;"",参与者填写!DV4&lt;&gt;""),IF(AND(参与者填写!DU4=比赛赛程!F43,参与者填写!DV4=比赛赛程!G43),4,IF(SIGN(参与者填写!DU4-参与者填写!DV4)=SIGN(比赛赛程!F43-比赛赛程!G43),1,0)),"")</f>
        <v/>
      </c>
      <c r="AR4" s="9" t="str">
        <f aca="false">IF(AND(参与者填写!DX4&lt;&gt;"",参与者填写!DY4&lt;&gt;""),IF(AND(参与者填写!DX4=比赛赛程!F44,参与者填写!DY4=比赛赛程!G44),4,IF(SIGN(参与者填写!DX4-参与者填写!DY4)=SIGN(比赛赛程!F44-比赛赛程!G44),1,0)),"")</f>
        <v/>
      </c>
      <c r="AS4" s="9" t="str">
        <f aca="false">IF(AND(参与者填写!EA4&lt;&gt;"",参与者填写!EB4&lt;&gt;""),IF(AND(参与者填写!EA4=比赛赛程!F45,参与者填写!EB4=比赛赛程!G45),4,IF(SIGN(参与者填写!EA4-参与者填写!EB4)=SIGN(比赛赛程!F45-比赛赛程!G45),1,0)),"")</f>
        <v/>
      </c>
      <c r="AT4" s="9" t="str">
        <f aca="false">IF(AND(参与者填写!ED4&lt;&gt;"",参与者填写!EE4&lt;&gt;""),IF(AND(参与者填写!ED4=比赛赛程!F46,参与者填写!EE4=比赛赛程!G46),4,IF(SIGN(参与者填写!ED4-参与者填写!EE4)=SIGN(比赛赛程!F46-比赛赛程!G46),1,0)),"")</f>
        <v/>
      </c>
      <c r="AU4" s="9" t="str">
        <f aca="false">IF(AND(参与者填写!EG4&lt;&gt;"",参与者填写!EH4&lt;&gt;""),IF(AND(参与者填写!EG4=比赛赛程!F47,参与者填写!EH4=比赛赛程!G47),4,IF(SIGN(参与者填写!EG4-参与者填写!EH4)=SIGN(比赛赛程!F47-比赛赛程!G47),1,0)),"")</f>
        <v/>
      </c>
      <c r="AV4" s="9" t="str">
        <f aca="false">IF(AND(参与者填写!EJ4&lt;&gt;"",参与者填写!EK4&lt;&gt;""),IF(AND(参与者填写!EJ4=比赛赛程!F48,参与者填写!EK4=比赛赛程!G48),4,IF(SIGN(参与者填写!EJ4-参与者填写!EK4)=SIGN(比赛赛程!F48-比赛赛程!G48),1,0)),"")</f>
        <v/>
      </c>
      <c r="AW4" s="9" t="str">
        <f aca="false">IF(AND(参与者填写!EM4&lt;&gt;"",参与者填写!EN4&lt;&gt;""),IF(AND(参与者填写!EM4=比赛赛程!F49,参与者填写!EN4=比赛赛程!G49),4,IF(SIGN(参与者填写!EM4-参与者填写!EN4)=SIGN(比赛赛程!F49-比赛赛程!G49),1,0)),"")</f>
        <v/>
      </c>
      <c r="AX4" s="9" t="str">
        <f aca="false">IF(AND(参与者填写!EP4&lt;&gt;"",参与者填写!EQ4&lt;&gt;""),IF(AND(参与者填写!EP4=比赛赛程!F50,参与者填写!EQ4=比赛赛程!G50),4,IF(SIGN(参与者填写!EP4-参与者填写!EQ4)=SIGN(比赛赛程!F50-比赛赛程!G50),1,0)),"")</f>
        <v/>
      </c>
      <c r="AY4" s="9" t="str">
        <f aca="false">IF(AND(参与者填写!ES4&lt;&gt;"",参与者填写!ET4&lt;&gt;""),IF(AND(参与者填写!ES4=比赛赛程!F51,参与者填写!ET4=比赛赛程!G51),4,IF(SIGN(参与者填写!ES4-参与者填写!ET4)=SIGN(比赛赛程!F51-比赛赛程!G51),1,0)),"")</f>
        <v/>
      </c>
      <c r="AZ4" s="9" t="str">
        <f aca="false">IF(AND(参与者填写!EV4&lt;&gt;"",参与者填写!EW4&lt;&gt;""),IF(AND(参与者填写!EV4=比赛赛程!F52,参与者填写!EW4=比赛赛程!G52),4,IF(SIGN(参与者填写!EV4-参与者填写!EW4)=SIGN(比赛赛程!F52-比赛赛程!G52),1,0)),"")</f>
        <v/>
      </c>
      <c r="BA4" s="9" t="str">
        <f aca="false">IF(AND(参与者填写!EY4&lt;&gt;"",参与者填写!EZ4&lt;&gt;""),IF(AND(参与者填写!EY4=比赛赛程!F53,参与者填写!EZ4=比赛赛程!G53),4,IF(SIGN(参与者填写!EY4-参与者填写!EZ4)=SIGN(比赛赛程!F53-比赛赛程!G53),1,0)),"")</f>
        <v/>
      </c>
      <c r="BB4" s="9" t="str">
        <f aca="false">IF(AND(参与者填写!FB4&lt;&gt;"",参与者填写!FC4&lt;&gt;""),IF(AND(参与者填写!FB4=比赛赛程!F54,参与者填写!FC4=比赛赛程!G54),4,IF(SIGN(参与者填写!FB4-参与者填写!FC4)=SIGN(比赛赛程!F54-比赛赛程!G54),1,0)),"")</f>
        <v/>
      </c>
      <c r="BC4" s="9" t="str">
        <f aca="false">IF(AND(参与者填写!FE4&lt;&gt;"",参与者填写!FF4&lt;&gt;""),IF(AND(参与者填写!FE4=比赛赛程!F55,参与者填写!FF4=比赛赛程!G55),4,IF(SIGN(参与者填写!FE4-参与者填写!FF4)=SIGN(比赛赛程!F55-比赛赛程!G55),1,0)),"")</f>
        <v/>
      </c>
      <c r="BD4" s="9" t="str">
        <f aca="false">IF(AND(参与者填写!FH4&lt;&gt;"",参与者填写!FI4&lt;&gt;""),IF(AND(参与者填写!FH4=比赛赛程!F56,参与者填写!FI4=比赛赛程!G56),4,IF(SIGN(参与者填写!FH4-参与者填写!FI4)=SIGN(比赛赛程!F56-比赛赛程!G56),1,0)),"")</f>
        <v/>
      </c>
      <c r="BE4" s="9" t="str">
        <f aca="false">IF(AND(参与者填写!FK4&lt;&gt;"",参与者填写!FL4&lt;&gt;""),IF(AND(参与者填写!FK4=比赛赛程!F57,参与者填写!FL4=比赛赛程!G57),4,IF(SIGN(参与者填写!FK4-参与者填写!FL4)=SIGN(比赛赛程!F57-比赛赛程!G57),1,0)),"")</f>
        <v/>
      </c>
      <c r="BF4" s="9" t="str">
        <f aca="false">IF(AND(参与者填写!FN4&lt;&gt;"",参与者填写!FO4&lt;&gt;""),IF(AND(参与者填写!FN4=比赛赛程!F58,参与者填写!FO4=比赛赛程!G58),4,IF(SIGN(参与者填写!FN4-参与者填写!FO4)=SIGN(比赛赛程!F58-比赛赛程!G58),1,0)),"")</f>
        <v/>
      </c>
      <c r="BG4" s="9" t="str">
        <f aca="false">IF(AND(参与者填写!FQ4&lt;&gt;"",参与者填写!FR4&lt;&gt;""),IF(AND(参与者填写!FQ4=比赛赛程!F59,参与者填写!FR4=比赛赛程!G59),4,IF(SIGN(参与者填写!FQ4-参与者填写!FR4)=SIGN(比赛赛程!F59-比赛赛程!G59),1,0)),"")</f>
        <v/>
      </c>
      <c r="BH4" s="9" t="str">
        <f aca="false">IF(AND(参与者填写!FT4&lt;&gt;"",参与者填写!FU4&lt;&gt;""),IF(AND(参与者填写!FT4=比赛赛程!F60,参与者填写!FU4=比赛赛程!G60),4,IF(SIGN(参与者填写!FT4-参与者填写!FU4)=SIGN(比赛赛程!F60-比赛赛程!G60),1,0)),"")</f>
        <v/>
      </c>
      <c r="BI4" s="9" t="str">
        <f aca="false">IF(AND(参与者填写!FW4&lt;&gt;"",参与者填写!FX4&lt;&gt;""),IF(AND(参与者填写!FW4=比赛赛程!F61,参与者填写!FX4=比赛赛程!G61),4,IF(SIGN(参与者填写!FW4-参与者填写!FX4)=SIGN(比赛赛程!F61-比赛赛程!G61),1,0)),"")</f>
        <v/>
      </c>
      <c r="BJ4" s="9" t="str">
        <f aca="false">IF(AND(参与者填写!FZ4&lt;&gt;"",参与者填写!GA4&lt;&gt;""),IF(AND(参与者填写!FZ4=比赛赛程!F62,参与者填写!GA4=比赛赛程!G62),4,IF(SIGN(参与者填写!FZ4-参与者填写!GA4)=SIGN(比赛赛程!F62-比赛赛程!G62),1,0)),"")</f>
        <v/>
      </c>
      <c r="BK4" s="9" t="str">
        <f aca="false">IF(AND(参与者填写!GC4&lt;&gt;"",参与者填写!GD4&lt;&gt;""),IF(AND(参与者填写!GC4=比赛赛程!F63,参与者填写!GD4=比赛赛程!G63),4,IF(SIGN(参与者填写!GC4-参与者填写!GD4)=SIGN(比赛赛程!F63-比赛赛程!G63),1,0)),"")</f>
        <v/>
      </c>
      <c r="BL4" s="9" t="str">
        <f aca="false">IF(AND(参与者填写!GF4&lt;&gt;"",参与者填写!GG4&lt;&gt;""),IF(AND(参与者填写!GF4=比赛赛程!F64,参与者填写!GG4=比赛赛程!G64),4,IF(SIGN(参与者填写!GF4-参与者填写!GG4)=SIGN(比赛赛程!F64-比赛赛程!G64),1,0)),"")</f>
        <v/>
      </c>
      <c r="BM4" s="9" t="str">
        <f aca="false">IF(AND(参与者填写!GI4&lt;&gt;"",参与者填写!GJ4&lt;&gt;""),IF(AND(参与者填写!GI4=比赛赛程!F65,参与者填写!GJ4=比赛赛程!G65),4,IF(SIGN(参与者填写!GI4-参与者填写!GJ4)=SIGN(比赛赛程!F65-比赛赛程!G65),1,0)),"")</f>
        <v/>
      </c>
      <c r="BN4" s="9" t="str">
        <f aca="false">IF(AND(参与者填写!GL4&lt;&gt;"",参与者填写!GM4&lt;&gt;""),IF(AND(参与者填写!GL4=比赛赛程!F66,参与者填写!GM4=比赛赛程!G66),4,IF(SIGN(参与者填写!GL4-参与者填写!GM4)=SIGN(比赛赛程!F66-比赛赛程!G66),1,0)),"")</f>
        <v/>
      </c>
      <c r="BO4" s="9" t="str">
        <f aca="false">IF(AND(参与者填写!GO4&lt;&gt;"",参与者填写!GP4&lt;&gt;""),IF(AND(参与者填写!GO4=比赛赛程!F67,参与者填写!GP4=比赛赛程!G67),4,IF(SIGN(参与者填写!GO4-参与者填写!GP4)=SIGN(比赛赛程!F67-比赛赛程!G67),1,0)),"")</f>
        <v/>
      </c>
      <c r="BP4" s="9" t="str">
        <f aca="false">IF(AND(参与者填写!GR4&lt;&gt;"",参与者填写!GS4&lt;&gt;""),IF(AND(参与者填写!GR4=比赛赛程!F68,参与者填写!GS4=比赛赛程!G68),4,IF(SIGN(参与者填写!GR4-参与者填写!GS4)=SIGN(比赛赛程!F68-比赛赛程!G68),1,0)),"")</f>
        <v/>
      </c>
      <c r="BQ4" s="9" t="str">
        <f aca="false">IF(AND(参与者填写!GU4&lt;&gt;"",参与者填写!GV4&lt;&gt;""),IF(AND(参与者填写!GU4=比赛赛程!F69,参与者填写!GV4=比赛赛程!G69),4,IF(SIGN(参与者填写!GU4-参与者填写!GV4)=SIGN(比赛赛程!F69-比赛赛程!G69),1,0)),"")</f>
        <v/>
      </c>
      <c r="BR4" s="9" t="str">
        <f aca="false">IF(AND(参与者填写!GX4&lt;&gt;"",参与者填写!GY4&lt;&gt;""),IF(AND(参与者填写!GX4=比赛赛程!F70,参与者填写!GY4=比赛赛程!G70),4,IF(SIGN(参与者填写!GX4-参与者填写!GY4)=SIGN(比赛赛程!F70-比赛赛程!G70),1,0)),"")</f>
        <v/>
      </c>
      <c r="BS4" s="9" t="str">
        <f aca="false">IF(AND(参与者填写!HA4&lt;&gt;"",参与者填写!HB4&lt;&gt;""),IF(AND(参与者填写!HA4=比赛赛程!F71,参与者填写!HB4=比赛赛程!G71),4,IF(SIGN(参与者填写!HA4-参与者填写!HB4)=SIGN(比赛赛程!F71-比赛赛程!G71),1,0)),"")</f>
        <v/>
      </c>
      <c r="BT4" s="9" t="str">
        <f aca="false">IF(AND(参与者填写!HD4&lt;&gt;"",参与者填写!HE4&lt;&gt;""),IF(AND(参与者填写!HD4=比赛赛程!F72,参与者填写!HE4=比赛赛程!G72),4,IF(SIGN(参与者填写!HD4-参与者填写!HE4)=SIGN(比赛赛程!F72-比赛赛程!G72),1,0)),"")</f>
        <v/>
      </c>
      <c r="BU4" s="9" t="str">
        <f aca="false">IF(AND(参与者填写!HG4&lt;&gt;"",参与者填写!HH4&lt;&gt;""),IF(AND(参与者填写!HG4=比赛赛程!F73,参与者填写!HH4=比赛赛程!G73),4,IF(SIGN(参与者填写!HG4-参与者填写!HH4)=SIGN(比赛赛程!F73-比赛赛程!G73),1,0)),"")</f>
        <v/>
      </c>
      <c r="BV4" s="9" t="str">
        <f aca="false">IF(AND(参与者填写!HJ4&lt;&gt;"",参与者填写!HK4&lt;&gt;""),IF(AND(参与者填写!HJ4=比赛赛程!F74,参与者填写!HK4=比赛赛程!G74),4,IF(SIGN(参与者填写!HJ4-参与者填写!HK4)=SIGN(比赛赛程!F74-比赛赛程!G74),1,0)),"")</f>
        <v/>
      </c>
      <c r="BW4" s="9" t="str">
        <f aca="false">IF(AND(参与者填写!HM4&lt;&gt;"",参与者填写!HN4&lt;&gt;""),IF(AND(参与者填写!HM4=比赛赛程!F75,参与者填写!HN4=比赛赛程!G75),4,IF(SIGN(参与者填写!HM4-参与者填写!HN4)=SIGN(比赛赛程!F75-比赛赛程!G75),1,0)),"")</f>
        <v/>
      </c>
      <c r="BX4" s="9" t="str">
        <f aca="false">IF(AND(参与者填写!HP4&lt;&gt;"",参与者填写!HQ4&lt;&gt;""),IF(AND(参与者填写!HP4=比赛赛程!F76,参与者填写!HQ4=比赛赛程!G76),4,IF(SIGN(参与者填写!HP4-参与者填写!HQ4)=SIGN(比赛赛程!F76-比赛赛程!G76),1,0)),"")</f>
        <v/>
      </c>
      <c r="BY4" s="9" t="str">
        <f aca="false">IF(AND(参与者填写!HS4&lt;&gt;"",参与者填写!HT4&lt;&gt;""),IF(AND(参与者填写!HS4=比赛赛程!F77,参与者填写!HT4=比赛赛程!G77),4,IF(SIGN(参与者填写!HS4-参与者填写!HT4)=SIGN(比赛赛程!F77-比赛赛程!G77),1,0)),"")</f>
        <v/>
      </c>
      <c r="BZ4" s="9" t="str">
        <f aca="false">IF(AND(参与者填写!HV4&lt;&gt;"",参与者填写!HW4&lt;&gt;""),IF(AND(参与者填写!HV4=比赛赛程!F78,参与者填写!HW4=比赛赛程!G78),4,IF(SIGN(参与者填写!HV4-参与者填写!HW4)=SIGN(比赛赛程!F78-比赛赛程!G78),1,0)),"")</f>
        <v/>
      </c>
      <c r="CA4" s="9" t="str">
        <f aca="false">IF(AND(参与者填写!HY4&lt;&gt;"",参与者填写!HZ4&lt;&gt;""),IF(AND(参与者填写!HY4=比赛赛程!F79,参与者填写!HZ4=比赛赛程!G79),4,IF(SIGN(参与者填写!HY4-参与者填写!HZ4)=SIGN(比赛赛程!F79-比赛赛程!G79),1,0)),"")</f>
        <v/>
      </c>
      <c r="CB4" s="9" t="str">
        <f aca="false">IF(AND(参与者填写!IB4&lt;&gt;"",参与者填写!IC4&lt;&gt;""),IF(AND(参与者填写!IB4=比赛赛程!F80,参与者填写!IC4=比赛赛程!G80),4,IF(SIGN(参与者填写!IB4-参与者填写!IC4)=SIGN(比赛赛程!F80-比赛赛程!G80),1,0)),"")</f>
        <v/>
      </c>
      <c r="CC4" s="9" t="str">
        <f aca="false">IF(AND(参与者填写!IE4&lt;&gt;"",参与者填写!IF4&lt;&gt;""),IF(AND(参与者填写!IE4=比赛赛程!F81,参与者填写!IF4=比赛赛程!G81),4,IF(SIGN(参与者填写!IE4-参与者填写!IF4)=SIGN(比赛赛程!F81-比赛赛程!G81),1,0)),"")</f>
        <v/>
      </c>
      <c r="CD4" s="9" t="str">
        <f aca="false">IF(AND(参与者填写!IH4&lt;&gt;"",参与者填写!II4&lt;&gt;""),IF(AND(参与者填写!IH4=比赛赛程!F82,参与者填写!II4=比赛赛程!G82),4,IF(SIGN(参与者填写!IH4-参与者填写!II4)=SIGN(比赛赛程!F82-比赛赛程!G82),1,0)),"")</f>
        <v/>
      </c>
      <c r="CE4" s="9" t="str">
        <f aca="false">IF(AND(参与者填写!IK4&lt;&gt;"",参与者填写!IL4&lt;&gt;""),IF(AND(参与者填写!IK4=比赛赛程!F83,参与者填写!IL4=比赛赛程!G83),4,IF(SIGN(参与者填写!IK4-参与者填写!IL4)=SIGN(比赛赛程!F83-比赛赛程!G83),1,0)),"")</f>
        <v/>
      </c>
      <c r="CF4" s="9" t="str">
        <f aca="false">IF(AND(参与者填写!IN4&lt;&gt;"",参与者填写!IO4&lt;&gt;""),IF(AND(参与者填写!IN4=比赛赛程!F84,参与者填写!IO4=比赛赛程!G84),4,IF(SIGN(参与者填写!IN4-参与者填写!IO4)=SIGN(比赛赛程!F84-比赛赛程!G84),1,0)),"")</f>
        <v/>
      </c>
      <c r="CG4" s="9" t="str">
        <f aca="false">IF(AND(参与者填写!IQ4&lt;&gt;"",参与者填写!IR4&lt;&gt;""),IF(AND(参与者填写!IQ4=比赛赛程!F85,参与者填写!IR4=比赛赛程!G85),4,IF(SIGN(参与者填写!IQ4-参与者填写!IR4)=SIGN(比赛赛程!F85-比赛赛程!G85),1,0)),"")</f>
        <v/>
      </c>
      <c r="CH4" s="9" t="str">
        <f aca="false">IF(AND(参与者填写!IT4&lt;&gt;"",参与者填写!IU4&lt;&gt;""),IF(AND(参与者填写!IT4=比赛赛程!F86,参与者填写!IU4=比赛赛程!G86),4,IF(SIGN(参与者填写!IT4-参与者填写!IU4)=SIGN(比赛赛程!F86-比赛赛程!G86),1,0)),"")</f>
        <v/>
      </c>
      <c r="CI4" s="9" t="str">
        <f aca="false">IF(AND(参与者填写!IW4&lt;&gt;"",参与者填写!IX4&lt;&gt;""),IF(AND(参与者填写!IW4=比赛赛程!F87,参与者填写!IX4=比赛赛程!G87),4,IF(SIGN(参与者填写!IW4-参与者填写!IX4)=SIGN(比赛赛程!F87-比赛赛程!G87),1,0)),"")</f>
        <v/>
      </c>
      <c r="CJ4" s="9" t="str">
        <f aca="false">IF(AND(参与者填写!IZ4&lt;&gt;"",参与者填写!JA4&lt;&gt;""),IF(AND(参与者填写!IZ4=比赛赛程!F88,参与者填写!JA4=比赛赛程!G88),4,IF(SIGN(参与者填写!IZ4-参与者填写!JA4)=SIGN(比赛赛程!F88-比赛赛程!G88),1,0)),"")</f>
        <v/>
      </c>
      <c r="CK4" s="9" t="str">
        <f aca="false">IF(AND(参与者填写!JC4&lt;&gt;"",参与者填写!JD4&lt;&gt;""),IF(AND(参与者填写!JC4=比赛赛程!F89,参与者填写!JD4=比赛赛程!G89),4,IF(SIGN(参与者填写!JC4-参与者填写!JD4)=SIGN(比赛赛程!F89-比赛赛程!G89),1,0)),"")</f>
        <v/>
      </c>
      <c r="CL4" s="9" t="str">
        <f aca="false">IF(AND(参与者填写!JF4&lt;&gt;"",参与者填写!JG4&lt;&gt;""),IF(AND(参与者填写!JF4=比赛赛程!F90,参与者填写!JG4=比赛赛程!G90),4,IF(SIGN(参与者填写!JF4-参与者填写!JG4)=SIGN(比赛赛程!F90-比赛赛程!G90),1,0)),"")</f>
        <v/>
      </c>
      <c r="CM4" s="9" t="str">
        <f aca="false">IF(AND(参与者填写!JI4&lt;&gt;"",参与者填写!JJ4&lt;&gt;""),IF(AND(参与者填写!JI4=比赛赛程!F91,参与者填写!JJ4=比赛赛程!G91),4,IF(SIGN(参与者填写!JI4-参与者填写!JJ4)=SIGN(比赛赛程!F91-比赛赛程!G91),1,0)),"")</f>
        <v/>
      </c>
      <c r="CN4" s="9" t="str">
        <f aca="false">IF(AND(参与者填写!JL4&lt;&gt;"",参与者填写!JM4&lt;&gt;""),IF(AND(参与者填写!JL4=比赛赛程!F92,参与者填写!JM4=比赛赛程!G92),4,IF(SIGN(参与者填写!JL4-参与者填写!JM4)=SIGN(比赛赛程!F92-比赛赛程!G92),1,0)),"")</f>
        <v/>
      </c>
      <c r="CO4" s="9" t="str">
        <f aca="false">IF(AND(参与者填写!JO4&lt;&gt;"",参与者填写!JP4&lt;&gt;""),IF(AND(参与者填写!JO4=比赛赛程!F93,参与者填写!JP4=比赛赛程!G93),4,IF(SIGN(参与者填写!JO4-参与者填写!JP4)=SIGN(比赛赛程!F93-比赛赛程!G93),1,0)),"")</f>
        <v/>
      </c>
      <c r="CP4" s="9" t="str">
        <f aca="false">IF(AND(参与者填写!JR4&lt;&gt;"",参与者填写!JS4&lt;&gt;""),IF(AND(参与者填写!JR4=比赛赛程!F94,参与者填写!JS4=比赛赛程!G94),4,IF(SIGN(参与者填写!JR4-参与者填写!JS4)=SIGN(比赛赛程!F94-比赛赛程!G94),1,0)),"")</f>
        <v/>
      </c>
      <c r="CQ4" s="9" t="str">
        <f aca="false">IF(AND(参与者填写!JU4&lt;&gt;"",参与者填写!JV4&lt;&gt;""),IF(AND(参与者填写!JU4=比赛赛程!F95,参与者填写!JV4=比赛赛程!G95),4,IF(SIGN(参与者填写!JU4-参与者填写!JV4)=SIGN(比赛赛程!F95-比赛赛程!G95),1,0)),"")</f>
        <v/>
      </c>
      <c r="CR4" s="9" t="str">
        <f aca="false">IF(AND(参与者填写!JX4&lt;&gt;"",参与者填写!JY4&lt;&gt;""),IF(AND(参与者填写!JX4=比赛赛程!F96,参与者填写!JY4=比赛赛程!G96),4,IF(SIGN(参与者填写!JX4-参与者填写!JY4)=SIGN(比赛赛程!F96-比赛赛程!G96),1,0)),"")</f>
        <v/>
      </c>
      <c r="CS4" s="9" t="str">
        <f aca="false">IF(AND(参与者填写!KA4&lt;&gt;"",参与者填写!KB4&lt;&gt;""),IF(AND(参与者填写!KA4=比赛赛程!F97,参与者填写!KB4=比赛赛程!G97),4,IF(SIGN(参与者填写!KA4-参与者填写!KB4)=SIGN(比赛赛程!F97-比赛赛程!G97),1,0)),"")</f>
        <v/>
      </c>
      <c r="CT4" s="9" t="str">
        <f aca="false">IF(AND(参与者填写!KD4&lt;&gt;"",参与者填写!KE4&lt;&gt;""),IF(AND(参与者填写!KD4=比赛赛程!F98,参与者填写!KE4=比赛赛程!G98),4,IF(SIGN(参与者填写!KD4-参与者填写!KE4)=SIGN(比赛赛程!F98-比赛赛程!G98),1,0)),"")</f>
        <v/>
      </c>
      <c r="CU4" s="9" t="str">
        <f aca="false">IF(AND(参与者填写!KG4&lt;&gt;"",参与者填写!KH4&lt;&gt;""),IF(AND(参与者填写!KG4=比赛赛程!F99,参与者填写!KH4=比赛赛程!G99),4,IF(SIGN(参与者填写!KG4-参与者填写!KH4)=SIGN(比赛赛程!F99-比赛赛程!G99),1,0)),"")</f>
        <v/>
      </c>
      <c r="CV4" s="9" t="str">
        <f aca="false">IF(AND(参与者填写!KJ4&lt;&gt;"",参与者填写!KK4&lt;&gt;""),IF(AND(参与者填写!KJ4=比赛赛程!F100,参与者填写!KK4=比赛赛程!G100),4,IF(SIGN(参与者填写!KJ4-参与者填写!KK4)=SIGN(比赛赛程!F100-比赛赛程!G100),1,0)),"")</f>
        <v/>
      </c>
      <c r="CW4" s="9" t="str">
        <f aca="false">IF(AND(参与者填写!KM4&lt;&gt;"",参与者填写!KN4&lt;&gt;""),IF(AND(参与者填写!KM4=比赛赛程!F101,参与者填写!KN4=比赛赛程!G101),4,IF(SIGN(参与者填写!KM4-参与者填写!KN4)=SIGN(比赛赛程!F101-比赛赛程!G101),1,0)),"")</f>
        <v/>
      </c>
      <c r="CX4" s="9" t="str">
        <f aca="false">IF(AND(参与者填写!KP4&lt;&gt;"",参与者填写!KQ4&lt;&gt;""),IF(AND(参与者填写!KP4=比赛赛程!F102,参与者填写!KQ4=比赛赛程!G102),4,IF(SIGN(参与者填写!KP4-参与者填写!KQ4)=SIGN(比赛赛程!F102-比赛赛程!G102),1,0)),"")</f>
        <v/>
      </c>
      <c r="CY4" s="9" t="str">
        <f aca="false">IF(AND(参与者填写!KS4&lt;&gt;"",参与者填写!KT4&lt;&gt;""),IF(AND(参与者填写!KS4=比赛赛程!F103,参与者填写!KT4=比赛赛程!G103),4,IF(SIGN(参与者填写!KS4-参与者填写!KT4)=SIGN(比赛赛程!F103-比赛赛程!G103),1,0)),"")</f>
        <v/>
      </c>
      <c r="CZ4" s="9" t="str">
        <f aca="false">IF(AND(参与者填写!KV4&lt;&gt;"",参与者填写!KW4&lt;&gt;""),IF(AND(参与者填写!KV4=比赛赛程!F104,参与者填写!KW4=比赛赛程!G104),4,IF(SIGN(参与者填写!KV4-参与者填写!KW4)=SIGN(比赛赛程!F104-比赛赛程!G104),1,0)),"")</f>
        <v/>
      </c>
      <c r="DA4" s="9" t="str">
        <f aca="false">IF(AND(参与者填写!KY4&lt;&gt;"",参与者填写!KZ4&lt;&gt;""),IF(AND(参与者填写!KY4=比赛赛程!F105,参与者填写!KZ4=比赛赛程!G105),4,IF(SIGN(参与者填写!KY4-参与者填写!KZ4)=SIGN(比赛赛程!F105-比赛赛程!G105),1,0)),"")</f>
        <v/>
      </c>
    </row>
    <row r="5" customFormat="false" ht="19.5" hidden="false" customHeight="true" outlineLevel="0" collapsed="false">
      <c r="A5" s="8" t="s">
        <v>218</v>
      </c>
      <c r="B5" s="9" t="n">
        <f aca="false">IF(AND(参与者填写!B5&lt;&gt;"",参与者填写!C5&lt;&gt;""),IF(AND(参与者填写!B5=比赛赛程!F2,参与者填写!C5=比赛赛程!G2),4,IF(SIGN(参与者填写!B5-参与者填写!C5)=SIGN(比赛赛程!F2-比赛赛程!G2),1,0)),"")</f>
        <v>0</v>
      </c>
      <c r="C5" s="9" t="n">
        <f aca="false">IF(AND(参与者填写!E5&lt;&gt;"",参与者填写!F5&lt;&gt;""),IF(AND(参与者填写!E5=比赛赛程!F3,参与者填写!F5=比赛赛程!G3),4,IF(SIGN(参与者填写!E5-参与者填写!F5)=SIGN(比赛赛程!F3-比赛赛程!G3),1,0)),"")</f>
        <v>0</v>
      </c>
      <c r="D5" s="9" t="n">
        <f aca="false">IF(AND(参与者填写!H5&lt;&gt;"",参与者填写!I5&lt;&gt;""),IF(AND(参与者填写!H5=比赛赛程!F4,参与者填写!I5=比赛赛程!G4),4,IF(SIGN(参与者填写!H5-参与者填写!I5)=SIGN(比赛赛程!F4-比赛赛程!G4),1,0)),"")</f>
        <v>0</v>
      </c>
      <c r="E5" s="9" t="n">
        <f aca="false">IF(AND(参与者填写!K5&lt;&gt;"",参与者填写!L5&lt;&gt;""),IF(AND(参与者填写!K5=比赛赛程!F5,参与者填写!L5=比赛赛程!G5),4,IF(SIGN(参与者填写!K5-参与者填写!L5)=SIGN(比赛赛程!F5-比赛赛程!G5),1,0)),"")</f>
        <v>1</v>
      </c>
      <c r="F5" s="9" t="n">
        <f aca="false">IF(AND(参与者填写!N5&lt;&gt;"",参与者填写!O5&lt;&gt;""),IF(AND(参与者填写!N5=比赛赛程!F6,参与者填写!O5=比赛赛程!G6),4,IF(SIGN(参与者填写!N5-参与者填写!O5)=SIGN(比赛赛程!F6-比赛赛程!G6),1,0)),"")</f>
        <v>0</v>
      </c>
      <c r="G5" s="9" t="n">
        <f aca="false">IF(AND(参与者填写!Q5&lt;&gt;"",参与者填写!R5&lt;&gt;""),IF(AND(参与者填写!Q5=比赛赛程!F7,参与者填写!R5=比赛赛程!G7),4,IF(SIGN(参与者填写!Q5-参与者填写!R5)=SIGN(比赛赛程!F7-比赛赛程!G7),1,0)),"")</f>
        <v>1</v>
      </c>
      <c r="H5" s="9" t="n">
        <f aca="false">IF(AND(参与者填写!T5&lt;&gt;"",参与者填写!U5&lt;&gt;""),IF(AND(参与者填写!T5=比赛赛程!F8,参与者填写!U5=比赛赛程!G8),4,IF(SIGN(参与者填写!T5-参与者填写!U5)=SIGN(比赛赛程!F8-比赛赛程!G8),1,0)),"")</f>
        <v>1</v>
      </c>
      <c r="I5" s="9" t="n">
        <f aca="false">IF(AND(参与者填写!W5&lt;&gt;"",参与者填写!X5&lt;&gt;""),IF(AND(参与者填写!W5=比赛赛程!F9,参与者填写!X5=比赛赛程!G9),4,IF(SIGN(参与者填写!W5-参与者填写!X5)=SIGN(比赛赛程!F9-比赛赛程!G9),1,0)),"")</f>
        <v>0</v>
      </c>
      <c r="J5" s="9" t="n">
        <f aca="false">IF(AND(参与者填写!Z5&lt;&gt;"",参与者填写!AA5&lt;&gt;""),IF(AND(参与者填写!Z5=比赛赛程!F10,参与者填写!AA5=比赛赛程!G10),4,IF(SIGN(参与者填写!Z5-参与者填写!AA5)=SIGN(比赛赛程!F10-比赛赛程!G10),1,0)),"")</f>
        <v>0</v>
      </c>
      <c r="K5" s="9" t="n">
        <f aca="false">IF(AND(参与者填写!AC5&lt;&gt;"",参与者填写!AD5&lt;&gt;""),IF(AND(参与者填写!AC5=比赛赛程!F11,参与者填写!AD5=比赛赛程!G11),4,IF(SIGN(参与者填写!AC5-参与者填写!AD5)=SIGN(比赛赛程!F11-比赛赛程!G11),1,0)),"")</f>
        <v>0</v>
      </c>
      <c r="L5" s="9" t="n">
        <f aca="false">IF(AND(参与者填写!AF5&lt;&gt;"",参与者填写!AG5&lt;&gt;""),IF(AND(参与者填写!AF5=比赛赛程!F12,参与者填写!AG5=比赛赛程!G12),4,IF(SIGN(参与者填写!AF5-参与者填写!AG5)=SIGN(比赛赛程!F12-比赛赛程!G12),1,0)),"")</f>
        <v>0</v>
      </c>
      <c r="M5" s="9" t="n">
        <f aca="false">IF(AND(参与者填写!AI5&lt;&gt;"",参与者填写!AJ5&lt;&gt;""),IF(AND(参与者填写!AI5=比赛赛程!F13,参与者填写!AJ5=比赛赛程!G13),4,IF(SIGN(参与者填写!AI5-参与者填写!AJ5)=SIGN(比赛赛程!F13-比赛赛程!G13),1,0)),"")</f>
        <v>0</v>
      </c>
      <c r="N5" s="9" t="n">
        <f aca="false">IF(AND(参与者填写!AL5&lt;&gt;"",参与者填写!AM5&lt;&gt;""),IF(AND(参与者填写!AL5=比赛赛程!F14,参与者填写!AM5=比赛赛程!G14),4,IF(SIGN(参与者填写!AL5-参与者填写!AM5)=SIGN(比赛赛程!F14-比赛赛程!G14),1,0)),"")</f>
        <v>1</v>
      </c>
      <c r="O5" s="9" t="n">
        <f aca="false">IF(AND(参与者填写!AO5&lt;&gt;"",参与者填写!AP5&lt;&gt;""),IF(AND(参与者填写!AO5=比赛赛程!F15,参与者填写!AP5=比赛赛程!G15),4,IF(SIGN(参与者填写!AO5-参与者填写!AP5)=SIGN(比赛赛程!F15-比赛赛程!G15),1,0)),"")</f>
        <v>0</v>
      </c>
      <c r="P5" s="9" t="n">
        <f aca="false">IF(AND(参与者填写!AR5&lt;&gt;"",参与者填写!AS5&lt;&gt;""),IF(AND(参与者填写!AR5=比赛赛程!F16,参与者填写!AS5=比赛赛程!G16),4,IF(SIGN(参与者填写!AR5-参与者填写!AS5)=SIGN(比赛赛程!F16-比赛赛程!G16),1,0)),"")</f>
        <v>0</v>
      </c>
      <c r="Q5" s="9" t="n">
        <f aca="false">IF(AND(参与者填写!AU5&lt;&gt;"",参与者填写!AV5&lt;&gt;""),IF(AND(参与者填写!AU5=比赛赛程!F17,参与者填写!AV5=比赛赛程!G17),4,IF(SIGN(参与者填写!AU5-参与者填写!AV5)=SIGN(比赛赛程!F17-比赛赛程!G17),1,0)),"")</f>
        <v>4</v>
      </c>
      <c r="R5" s="9" t="n">
        <f aca="false">IF(AND(参与者填写!AX5&lt;&gt;"",参与者填写!AY5&lt;&gt;""),IF(AND(参与者填写!AX5=比赛赛程!F18,参与者填写!AY5=比赛赛程!G18),4,IF(SIGN(参与者填写!AX5-参与者填写!AY5)=SIGN(比赛赛程!F18-比赛赛程!G18),1,0)),"")</f>
        <v>0</v>
      </c>
      <c r="S5" s="9" t="n">
        <f aca="false">IF(AND(参与者填写!BA5&lt;&gt;"",参与者填写!BB5&lt;&gt;""),IF(AND(参与者填写!BA5=比赛赛程!F19,参与者填写!BB5=比赛赛程!G19),4,IF(SIGN(参与者填写!BA5-参与者填写!BB5)=SIGN(比赛赛程!F19-比赛赛程!G19),1,0)),"")</f>
        <v>0</v>
      </c>
      <c r="T5" s="9" t="n">
        <f aca="false">IF(AND(参与者填写!BD5&lt;&gt;"",参与者填写!BE5&lt;&gt;""),IF(AND(参与者填写!BD5=比赛赛程!F20,参与者填写!BE5=比赛赛程!G20),4,IF(SIGN(参与者填写!BD5-参与者填写!BE5)=SIGN(比赛赛程!F20-比赛赛程!G20),1,0)),"")</f>
        <v>1</v>
      </c>
      <c r="U5" s="9" t="n">
        <f aca="false">IF(AND(参与者填写!BG5&lt;&gt;"",参与者填写!BH5&lt;&gt;""),IF(AND(参与者填写!BG5=比赛赛程!F21,参与者填写!BH5=比赛赛程!G21),4,IF(SIGN(参与者填写!BG5-参与者填写!BH5)=SIGN(比赛赛程!F21-比赛赛程!G21),1,0)),"")</f>
        <v>1</v>
      </c>
      <c r="V5" s="9" t="str">
        <f aca="false">IF(AND(参与者填写!BJ5&lt;&gt;"",参与者填写!BK5&lt;&gt;""),IF(AND(参与者填写!BJ5=比赛赛程!F22,参与者填写!BK5=比赛赛程!G22),4,IF(SIGN(参与者填写!BJ5-参与者填写!BK5)=SIGN(比赛赛程!F22-比赛赛程!G22),1,0)),"")</f>
        <v/>
      </c>
      <c r="W5" s="9" t="str">
        <f aca="false">IF(AND(参与者填写!BM5&lt;&gt;"",参与者填写!BN5&lt;&gt;""),IF(AND(参与者填写!BM5=比赛赛程!F23,参与者填写!BN5=比赛赛程!G23),4,IF(SIGN(参与者填写!BM5-参与者填写!BN5)=SIGN(比赛赛程!F23-比赛赛程!G23),1,0)),"")</f>
        <v/>
      </c>
      <c r="X5" s="9" t="str">
        <f aca="false">IF(AND(参与者填写!BP5&lt;&gt;"",参与者填写!BQ5&lt;&gt;""),IF(AND(参与者填写!BP5=比赛赛程!F24,参与者填写!BQ5=比赛赛程!G24),4,IF(SIGN(参与者填写!BP5-参与者填写!BQ5)=SIGN(比赛赛程!F24-比赛赛程!G24),1,0)),"")</f>
        <v/>
      </c>
      <c r="Y5" s="9" t="str">
        <f aca="false">IF(AND(参与者填写!BS5&lt;&gt;"",参与者填写!BT5&lt;&gt;""),IF(AND(参与者填写!BS5=比赛赛程!F25,参与者填写!BT5=比赛赛程!G25),4,IF(SIGN(参与者填写!BS5-参与者填写!BT5)=SIGN(比赛赛程!F25-比赛赛程!G25),1,0)),"")</f>
        <v/>
      </c>
      <c r="Z5" s="9" t="str">
        <f aca="false">IF(AND(参与者填写!BV5&lt;&gt;"",参与者填写!BW5&lt;&gt;""),IF(AND(参与者填写!BV5=比赛赛程!F26,参与者填写!BW5=比赛赛程!G26),4,IF(SIGN(参与者填写!BV5-参与者填写!BW5)=SIGN(比赛赛程!F26-比赛赛程!G26),1,0)),"")</f>
        <v/>
      </c>
      <c r="AA5" s="9" t="str">
        <f aca="false">IF(AND(参与者填写!BY5&lt;&gt;"",参与者填写!BZ5&lt;&gt;""),IF(AND(参与者填写!BY5=比赛赛程!F27,参与者填写!BZ5=比赛赛程!G27),4,IF(SIGN(参与者填写!BY5-参与者填写!BZ5)=SIGN(比赛赛程!F27-比赛赛程!G27),1,0)),"")</f>
        <v/>
      </c>
      <c r="AB5" s="9" t="str">
        <f aca="false">IF(AND(参与者填写!CB5&lt;&gt;"",参与者填写!CC5&lt;&gt;""),IF(AND(参与者填写!CB5=比赛赛程!F28,参与者填写!CC5=比赛赛程!G28),4,IF(SIGN(参与者填写!CB5-参与者填写!CC5)=SIGN(比赛赛程!F28-比赛赛程!G28),1,0)),"")</f>
        <v/>
      </c>
      <c r="AC5" s="9" t="str">
        <f aca="false">IF(AND(参与者填写!CE5&lt;&gt;"",参与者填写!CF5&lt;&gt;""),IF(AND(参与者填写!CE5=比赛赛程!F29,参与者填写!CF5=比赛赛程!G29),4,IF(SIGN(参与者填写!CE5-参与者填写!CF5)=SIGN(比赛赛程!F29-比赛赛程!G29),1,0)),"")</f>
        <v/>
      </c>
      <c r="AD5" s="9" t="str">
        <f aca="false">IF(AND(参与者填写!CH5&lt;&gt;"",参与者填写!CI5&lt;&gt;""),IF(AND(参与者填写!CH5=比赛赛程!F30,参与者填写!CI5=比赛赛程!G30),4,IF(SIGN(参与者填写!CH5-参与者填写!CI5)=SIGN(比赛赛程!F30-比赛赛程!G30),1,0)),"")</f>
        <v/>
      </c>
      <c r="AE5" s="9" t="str">
        <f aca="false">IF(AND(参与者填写!CK5&lt;&gt;"",参与者填写!CL5&lt;&gt;""),IF(AND(参与者填写!CK5=比赛赛程!F31,参与者填写!CL5=比赛赛程!G31),4,IF(SIGN(参与者填写!CK5-参与者填写!CL5)=SIGN(比赛赛程!F31-比赛赛程!G31),1,0)),"")</f>
        <v/>
      </c>
      <c r="AF5" s="9" t="str">
        <f aca="false">IF(AND(参与者填写!CN5&lt;&gt;"",参与者填写!CO5&lt;&gt;""),IF(AND(参与者填写!CN5=比赛赛程!F32,参与者填写!CO5=比赛赛程!G32),4,IF(SIGN(参与者填写!CN5-参与者填写!CO5)=SIGN(比赛赛程!F32-比赛赛程!G32),1,0)),"")</f>
        <v/>
      </c>
      <c r="AG5" s="9" t="str">
        <f aca="false">IF(AND(参与者填写!CQ5&lt;&gt;"",参与者填写!CR5&lt;&gt;""),IF(AND(参与者填写!CQ5=比赛赛程!F33,参与者填写!CR5=比赛赛程!G33),4,IF(SIGN(参与者填写!CQ5-参与者填写!CR5)=SIGN(比赛赛程!F33-比赛赛程!G33),1,0)),"")</f>
        <v/>
      </c>
      <c r="AH5" s="9" t="str">
        <f aca="false">IF(AND(参与者填写!CT5&lt;&gt;"",参与者填写!CU5&lt;&gt;""),IF(AND(参与者填写!CT5=比赛赛程!F34,参与者填写!CU5=比赛赛程!G34),4,IF(SIGN(参与者填写!CT5-参与者填写!CU5)=SIGN(比赛赛程!F34-比赛赛程!G34),1,0)),"")</f>
        <v/>
      </c>
      <c r="AI5" s="9" t="str">
        <f aca="false">IF(AND(参与者填写!CW5&lt;&gt;"",参与者填写!CX5&lt;&gt;""),IF(AND(参与者填写!CW5=比赛赛程!F35,参与者填写!CX5=比赛赛程!G35),4,IF(SIGN(参与者填写!CW5-参与者填写!CX5)=SIGN(比赛赛程!F35-比赛赛程!G35),1,0)),"")</f>
        <v/>
      </c>
      <c r="AJ5" s="9" t="str">
        <f aca="false">IF(AND(参与者填写!CZ5&lt;&gt;"",参与者填写!DA5&lt;&gt;""),IF(AND(参与者填写!CZ5=比赛赛程!F36,参与者填写!DA5=比赛赛程!G36),4,IF(SIGN(参与者填写!CZ5-参与者填写!DA5)=SIGN(比赛赛程!F36-比赛赛程!G36),1,0)),"")</f>
        <v/>
      </c>
      <c r="AK5" s="9" t="str">
        <f aca="false">IF(AND(参与者填写!DC5&lt;&gt;"",参与者填写!DD5&lt;&gt;""),IF(AND(参与者填写!DC5=比赛赛程!F37,参与者填写!DD5=比赛赛程!G37),4,IF(SIGN(参与者填写!DC5-参与者填写!DD5)=SIGN(比赛赛程!F37-比赛赛程!G37),1,0)),"")</f>
        <v/>
      </c>
      <c r="AL5" s="9" t="str">
        <f aca="false">IF(AND(参与者填写!DF5&lt;&gt;"",参与者填写!DG5&lt;&gt;""),IF(AND(参与者填写!DF5=比赛赛程!F38,参与者填写!DG5=比赛赛程!G38),4,IF(SIGN(参与者填写!DF5-参与者填写!DG5)=SIGN(比赛赛程!F38-比赛赛程!G38),1,0)),"")</f>
        <v/>
      </c>
      <c r="AM5" s="9" t="str">
        <f aca="false">IF(AND(参与者填写!DI5&lt;&gt;"",参与者填写!DJ5&lt;&gt;""),IF(AND(参与者填写!DI5=比赛赛程!F39,参与者填写!DJ5=比赛赛程!G39),4,IF(SIGN(参与者填写!DI5-参与者填写!DJ5)=SIGN(比赛赛程!F39-比赛赛程!G39),1,0)),"")</f>
        <v/>
      </c>
      <c r="AN5" s="9" t="str">
        <f aca="false">IF(AND(参与者填写!DL5&lt;&gt;"",参与者填写!DM5&lt;&gt;""),IF(AND(参与者填写!DL5=比赛赛程!F40,参与者填写!DM5=比赛赛程!G40),4,IF(SIGN(参与者填写!DL5-参与者填写!DM5)=SIGN(比赛赛程!F40-比赛赛程!G40),1,0)),"")</f>
        <v/>
      </c>
      <c r="AO5" s="9" t="str">
        <f aca="false">IF(AND(参与者填写!DO5&lt;&gt;"",参与者填写!DP5&lt;&gt;""),IF(AND(参与者填写!DO5=比赛赛程!F41,参与者填写!DP5=比赛赛程!G41),4,IF(SIGN(参与者填写!DO5-参与者填写!DP5)=SIGN(比赛赛程!F41-比赛赛程!G41),1,0)),"")</f>
        <v/>
      </c>
      <c r="AP5" s="9" t="str">
        <f aca="false">IF(AND(参与者填写!DR5&lt;&gt;"",参与者填写!DS5&lt;&gt;""),IF(AND(参与者填写!DR5=比赛赛程!F42,参与者填写!DS5=比赛赛程!G42),4,IF(SIGN(参与者填写!DR5-参与者填写!DS5)=SIGN(比赛赛程!F42-比赛赛程!G42),1,0)),"")</f>
        <v/>
      </c>
      <c r="AQ5" s="9" t="str">
        <f aca="false">IF(AND(参与者填写!DU5&lt;&gt;"",参与者填写!DV5&lt;&gt;""),IF(AND(参与者填写!DU5=比赛赛程!F43,参与者填写!DV5=比赛赛程!G43),4,IF(SIGN(参与者填写!DU5-参与者填写!DV5)=SIGN(比赛赛程!F43-比赛赛程!G43),1,0)),"")</f>
        <v/>
      </c>
      <c r="AR5" s="9" t="str">
        <f aca="false">IF(AND(参与者填写!DX5&lt;&gt;"",参与者填写!DY5&lt;&gt;""),IF(AND(参与者填写!DX5=比赛赛程!F44,参与者填写!DY5=比赛赛程!G44),4,IF(SIGN(参与者填写!DX5-参与者填写!DY5)=SIGN(比赛赛程!F44-比赛赛程!G44),1,0)),"")</f>
        <v/>
      </c>
      <c r="AS5" s="9" t="str">
        <f aca="false">IF(AND(参与者填写!EA5&lt;&gt;"",参与者填写!EB5&lt;&gt;""),IF(AND(参与者填写!EA5=比赛赛程!F45,参与者填写!EB5=比赛赛程!G45),4,IF(SIGN(参与者填写!EA5-参与者填写!EB5)=SIGN(比赛赛程!F45-比赛赛程!G45),1,0)),"")</f>
        <v/>
      </c>
      <c r="AT5" s="9" t="str">
        <f aca="false">IF(AND(参与者填写!ED5&lt;&gt;"",参与者填写!EE5&lt;&gt;""),IF(AND(参与者填写!ED5=比赛赛程!F46,参与者填写!EE5=比赛赛程!G46),4,IF(SIGN(参与者填写!ED5-参与者填写!EE5)=SIGN(比赛赛程!F46-比赛赛程!G46),1,0)),"")</f>
        <v/>
      </c>
      <c r="AU5" s="9" t="str">
        <f aca="false">IF(AND(参与者填写!EG5&lt;&gt;"",参与者填写!EH5&lt;&gt;""),IF(AND(参与者填写!EG5=比赛赛程!F47,参与者填写!EH5=比赛赛程!G47),4,IF(SIGN(参与者填写!EG5-参与者填写!EH5)=SIGN(比赛赛程!F47-比赛赛程!G47),1,0)),"")</f>
        <v/>
      </c>
      <c r="AV5" s="9" t="str">
        <f aca="false">IF(AND(参与者填写!EJ5&lt;&gt;"",参与者填写!EK5&lt;&gt;""),IF(AND(参与者填写!EJ5=比赛赛程!F48,参与者填写!EK5=比赛赛程!G48),4,IF(SIGN(参与者填写!EJ5-参与者填写!EK5)=SIGN(比赛赛程!F48-比赛赛程!G48),1,0)),"")</f>
        <v/>
      </c>
      <c r="AW5" s="9" t="str">
        <f aca="false">IF(AND(参与者填写!EM5&lt;&gt;"",参与者填写!EN5&lt;&gt;""),IF(AND(参与者填写!EM5=比赛赛程!F49,参与者填写!EN5=比赛赛程!G49),4,IF(SIGN(参与者填写!EM5-参与者填写!EN5)=SIGN(比赛赛程!F49-比赛赛程!G49),1,0)),"")</f>
        <v/>
      </c>
      <c r="AX5" s="9" t="str">
        <f aca="false">IF(AND(参与者填写!EP5&lt;&gt;"",参与者填写!EQ5&lt;&gt;""),IF(AND(参与者填写!EP5=比赛赛程!F50,参与者填写!EQ5=比赛赛程!G50),4,IF(SIGN(参与者填写!EP5-参与者填写!EQ5)=SIGN(比赛赛程!F50-比赛赛程!G50),1,0)),"")</f>
        <v/>
      </c>
      <c r="AY5" s="9" t="str">
        <f aca="false">IF(AND(参与者填写!ES5&lt;&gt;"",参与者填写!ET5&lt;&gt;""),IF(AND(参与者填写!ES5=比赛赛程!F51,参与者填写!ET5=比赛赛程!G51),4,IF(SIGN(参与者填写!ES5-参与者填写!ET5)=SIGN(比赛赛程!F51-比赛赛程!G51),1,0)),"")</f>
        <v/>
      </c>
      <c r="AZ5" s="9" t="str">
        <f aca="false">IF(AND(参与者填写!EV5&lt;&gt;"",参与者填写!EW5&lt;&gt;""),IF(AND(参与者填写!EV5=比赛赛程!F52,参与者填写!EW5=比赛赛程!G52),4,IF(SIGN(参与者填写!EV5-参与者填写!EW5)=SIGN(比赛赛程!F52-比赛赛程!G52),1,0)),"")</f>
        <v/>
      </c>
      <c r="BA5" s="9" t="str">
        <f aca="false">IF(AND(参与者填写!EY5&lt;&gt;"",参与者填写!EZ5&lt;&gt;""),IF(AND(参与者填写!EY5=比赛赛程!F53,参与者填写!EZ5=比赛赛程!G53),4,IF(SIGN(参与者填写!EY5-参与者填写!EZ5)=SIGN(比赛赛程!F53-比赛赛程!G53),1,0)),"")</f>
        <v/>
      </c>
      <c r="BB5" s="9" t="str">
        <f aca="false">IF(AND(参与者填写!FB5&lt;&gt;"",参与者填写!FC5&lt;&gt;""),IF(AND(参与者填写!FB5=比赛赛程!F54,参与者填写!FC5=比赛赛程!G54),4,IF(SIGN(参与者填写!FB5-参与者填写!FC5)=SIGN(比赛赛程!F54-比赛赛程!G54),1,0)),"")</f>
        <v/>
      </c>
      <c r="BC5" s="9" t="str">
        <f aca="false">IF(AND(参与者填写!FE5&lt;&gt;"",参与者填写!FF5&lt;&gt;""),IF(AND(参与者填写!FE5=比赛赛程!F55,参与者填写!FF5=比赛赛程!G55),4,IF(SIGN(参与者填写!FE5-参与者填写!FF5)=SIGN(比赛赛程!F55-比赛赛程!G55),1,0)),"")</f>
        <v/>
      </c>
      <c r="BD5" s="9" t="str">
        <f aca="false">IF(AND(参与者填写!FH5&lt;&gt;"",参与者填写!FI5&lt;&gt;""),IF(AND(参与者填写!FH5=比赛赛程!F56,参与者填写!FI5=比赛赛程!G56),4,IF(SIGN(参与者填写!FH5-参与者填写!FI5)=SIGN(比赛赛程!F56-比赛赛程!G56),1,0)),"")</f>
        <v/>
      </c>
      <c r="BE5" s="9" t="str">
        <f aca="false">IF(AND(参与者填写!FK5&lt;&gt;"",参与者填写!FL5&lt;&gt;""),IF(AND(参与者填写!FK5=比赛赛程!F57,参与者填写!FL5=比赛赛程!G57),4,IF(SIGN(参与者填写!FK5-参与者填写!FL5)=SIGN(比赛赛程!F57-比赛赛程!G57),1,0)),"")</f>
        <v/>
      </c>
      <c r="BF5" s="9" t="str">
        <f aca="false">IF(AND(参与者填写!FN5&lt;&gt;"",参与者填写!FO5&lt;&gt;""),IF(AND(参与者填写!FN5=比赛赛程!F58,参与者填写!FO5=比赛赛程!G58),4,IF(SIGN(参与者填写!FN5-参与者填写!FO5)=SIGN(比赛赛程!F58-比赛赛程!G58),1,0)),"")</f>
        <v/>
      </c>
      <c r="BG5" s="9" t="str">
        <f aca="false">IF(AND(参与者填写!FQ5&lt;&gt;"",参与者填写!FR5&lt;&gt;""),IF(AND(参与者填写!FQ5=比赛赛程!F59,参与者填写!FR5=比赛赛程!G59),4,IF(SIGN(参与者填写!FQ5-参与者填写!FR5)=SIGN(比赛赛程!F59-比赛赛程!G59),1,0)),"")</f>
        <v/>
      </c>
      <c r="BH5" s="9" t="str">
        <f aca="false">IF(AND(参与者填写!FT5&lt;&gt;"",参与者填写!FU5&lt;&gt;""),IF(AND(参与者填写!FT5=比赛赛程!F60,参与者填写!FU5=比赛赛程!G60),4,IF(SIGN(参与者填写!FT5-参与者填写!FU5)=SIGN(比赛赛程!F60-比赛赛程!G60),1,0)),"")</f>
        <v/>
      </c>
      <c r="BI5" s="9" t="str">
        <f aca="false">IF(AND(参与者填写!FW5&lt;&gt;"",参与者填写!FX5&lt;&gt;""),IF(AND(参与者填写!FW5=比赛赛程!F61,参与者填写!FX5=比赛赛程!G61),4,IF(SIGN(参与者填写!FW5-参与者填写!FX5)=SIGN(比赛赛程!F61-比赛赛程!G61),1,0)),"")</f>
        <v/>
      </c>
      <c r="BJ5" s="9" t="str">
        <f aca="false">IF(AND(参与者填写!FZ5&lt;&gt;"",参与者填写!GA5&lt;&gt;""),IF(AND(参与者填写!FZ5=比赛赛程!F62,参与者填写!GA5=比赛赛程!G62),4,IF(SIGN(参与者填写!FZ5-参与者填写!GA5)=SIGN(比赛赛程!F62-比赛赛程!G62),1,0)),"")</f>
        <v/>
      </c>
      <c r="BK5" s="9" t="str">
        <f aca="false">IF(AND(参与者填写!GC5&lt;&gt;"",参与者填写!GD5&lt;&gt;""),IF(AND(参与者填写!GC5=比赛赛程!F63,参与者填写!GD5=比赛赛程!G63),4,IF(SIGN(参与者填写!GC5-参与者填写!GD5)=SIGN(比赛赛程!F63-比赛赛程!G63),1,0)),"")</f>
        <v/>
      </c>
      <c r="BL5" s="9" t="str">
        <f aca="false">IF(AND(参与者填写!GF5&lt;&gt;"",参与者填写!GG5&lt;&gt;""),IF(AND(参与者填写!GF5=比赛赛程!F64,参与者填写!GG5=比赛赛程!G64),4,IF(SIGN(参与者填写!GF5-参与者填写!GG5)=SIGN(比赛赛程!F64-比赛赛程!G64),1,0)),"")</f>
        <v/>
      </c>
      <c r="BM5" s="9" t="str">
        <f aca="false">IF(AND(参与者填写!GI5&lt;&gt;"",参与者填写!GJ5&lt;&gt;""),IF(AND(参与者填写!GI5=比赛赛程!F65,参与者填写!GJ5=比赛赛程!G65),4,IF(SIGN(参与者填写!GI5-参与者填写!GJ5)=SIGN(比赛赛程!F65-比赛赛程!G65),1,0)),"")</f>
        <v/>
      </c>
      <c r="BN5" s="9" t="str">
        <f aca="false">IF(AND(参与者填写!GL5&lt;&gt;"",参与者填写!GM5&lt;&gt;""),IF(AND(参与者填写!GL5=比赛赛程!F66,参与者填写!GM5=比赛赛程!G66),4,IF(SIGN(参与者填写!GL5-参与者填写!GM5)=SIGN(比赛赛程!F66-比赛赛程!G66),1,0)),"")</f>
        <v/>
      </c>
      <c r="BO5" s="9" t="str">
        <f aca="false">IF(AND(参与者填写!GO5&lt;&gt;"",参与者填写!GP5&lt;&gt;""),IF(AND(参与者填写!GO5=比赛赛程!F67,参与者填写!GP5=比赛赛程!G67),4,IF(SIGN(参与者填写!GO5-参与者填写!GP5)=SIGN(比赛赛程!F67-比赛赛程!G67),1,0)),"")</f>
        <v/>
      </c>
      <c r="BP5" s="9" t="str">
        <f aca="false">IF(AND(参与者填写!GR5&lt;&gt;"",参与者填写!GS5&lt;&gt;""),IF(AND(参与者填写!GR5=比赛赛程!F68,参与者填写!GS5=比赛赛程!G68),4,IF(SIGN(参与者填写!GR5-参与者填写!GS5)=SIGN(比赛赛程!F68-比赛赛程!G68),1,0)),"")</f>
        <v/>
      </c>
      <c r="BQ5" s="9" t="str">
        <f aca="false">IF(AND(参与者填写!GU5&lt;&gt;"",参与者填写!GV5&lt;&gt;""),IF(AND(参与者填写!GU5=比赛赛程!F69,参与者填写!GV5=比赛赛程!G69),4,IF(SIGN(参与者填写!GU5-参与者填写!GV5)=SIGN(比赛赛程!F69-比赛赛程!G69),1,0)),"")</f>
        <v/>
      </c>
      <c r="BR5" s="9" t="str">
        <f aca="false">IF(AND(参与者填写!GX5&lt;&gt;"",参与者填写!GY5&lt;&gt;""),IF(AND(参与者填写!GX5=比赛赛程!F70,参与者填写!GY5=比赛赛程!G70),4,IF(SIGN(参与者填写!GX5-参与者填写!GY5)=SIGN(比赛赛程!F70-比赛赛程!G70),1,0)),"")</f>
        <v/>
      </c>
      <c r="BS5" s="9" t="str">
        <f aca="false">IF(AND(参与者填写!HA5&lt;&gt;"",参与者填写!HB5&lt;&gt;""),IF(AND(参与者填写!HA5=比赛赛程!F71,参与者填写!HB5=比赛赛程!G71),4,IF(SIGN(参与者填写!HA5-参与者填写!HB5)=SIGN(比赛赛程!F71-比赛赛程!G71),1,0)),"")</f>
        <v/>
      </c>
      <c r="BT5" s="9" t="str">
        <f aca="false">IF(AND(参与者填写!HD5&lt;&gt;"",参与者填写!HE5&lt;&gt;""),IF(AND(参与者填写!HD5=比赛赛程!F72,参与者填写!HE5=比赛赛程!G72),4,IF(SIGN(参与者填写!HD5-参与者填写!HE5)=SIGN(比赛赛程!F72-比赛赛程!G72),1,0)),"")</f>
        <v/>
      </c>
      <c r="BU5" s="9" t="str">
        <f aca="false">IF(AND(参与者填写!HG5&lt;&gt;"",参与者填写!HH5&lt;&gt;""),IF(AND(参与者填写!HG5=比赛赛程!F73,参与者填写!HH5=比赛赛程!G73),4,IF(SIGN(参与者填写!HG5-参与者填写!HH5)=SIGN(比赛赛程!F73-比赛赛程!G73),1,0)),"")</f>
        <v/>
      </c>
      <c r="BV5" s="9" t="str">
        <f aca="false">IF(AND(参与者填写!HJ5&lt;&gt;"",参与者填写!HK5&lt;&gt;""),IF(AND(参与者填写!HJ5=比赛赛程!F74,参与者填写!HK5=比赛赛程!G74),4,IF(SIGN(参与者填写!HJ5-参与者填写!HK5)=SIGN(比赛赛程!F74-比赛赛程!G74),1,0)),"")</f>
        <v/>
      </c>
      <c r="BW5" s="9" t="str">
        <f aca="false">IF(AND(参与者填写!HM5&lt;&gt;"",参与者填写!HN5&lt;&gt;""),IF(AND(参与者填写!HM5=比赛赛程!F75,参与者填写!HN5=比赛赛程!G75),4,IF(SIGN(参与者填写!HM5-参与者填写!HN5)=SIGN(比赛赛程!F75-比赛赛程!G75),1,0)),"")</f>
        <v/>
      </c>
      <c r="BX5" s="9" t="str">
        <f aca="false">IF(AND(参与者填写!HP5&lt;&gt;"",参与者填写!HQ5&lt;&gt;""),IF(AND(参与者填写!HP5=比赛赛程!F76,参与者填写!HQ5=比赛赛程!G76),4,IF(SIGN(参与者填写!HP5-参与者填写!HQ5)=SIGN(比赛赛程!F76-比赛赛程!G76),1,0)),"")</f>
        <v/>
      </c>
      <c r="BY5" s="9" t="str">
        <f aca="false">IF(AND(参与者填写!HS5&lt;&gt;"",参与者填写!HT5&lt;&gt;""),IF(AND(参与者填写!HS5=比赛赛程!F77,参与者填写!HT5=比赛赛程!G77),4,IF(SIGN(参与者填写!HS5-参与者填写!HT5)=SIGN(比赛赛程!F77-比赛赛程!G77),1,0)),"")</f>
        <v/>
      </c>
      <c r="BZ5" s="9" t="str">
        <f aca="false">IF(AND(参与者填写!HV5&lt;&gt;"",参与者填写!HW5&lt;&gt;""),IF(AND(参与者填写!HV5=比赛赛程!F78,参与者填写!HW5=比赛赛程!G78),4,IF(SIGN(参与者填写!HV5-参与者填写!HW5)=SIGN(比赛赛程!F78-比赛赛程!G78),1,0)),"")</f>
        <v/>
      </c>
      <c r="CA5" s="9" t="str">
        <f aca="false">IF(AND(参与者填写!HY5&lt;&gt;"",参与者填写!HZ5&lt;&gt;""),IF(AND(参与者填写!HY5=比赛赛程!F79,参与者填写!HZ5=比赛赛程!G79),4,IF(SIGN(参与者填写!HY5-参与者填写!HZ5)=SIGN(比赛赛程!F79-比赛赛程!G79),1,0)),"")</f>
        <v/>
      </c>
      <c r="CB5" s="9" t="str">
        <f aca="false">IF(AND(参与者填写!IB5&lt;&gt;"",参与者填写!IC5&lt;&gt;""),IF(AND(参与者填写!IB5=比赛赛程!F80,参与者填写!IC5=比赛赛程!G80),4,IF(SIGN(参与者填写!IB5-参与者填写!IC5)=SIGN(比赛赛程!F80-比赛赛程!G80),1,0)),"")</f>
        <v/>
      </c>
      <c r="CC5" s="9" t="str">
        <f aca="false">IF(AND(参与者填写!IE5&lt;&gt;"",参与者填写!IF5&lt;&gt;""),IF(AND(参与者填写!IE5=比赛赛程!F81,参与者填写!IF5=比赛赛程!G81),4,IF(SIGN(参与者填写!IE5-参与者填写!IF5)=SIGN(比赛赛程!F81-比赛赛程!G81),1,0)),"")</f>
        <v/>
      </c>
      <c r="CD5" s="9" t="str">
        <f aca="false">IF(AND(参与者填写!IH5&lt;&gt;"",参与者填写!II5&lt;&gt;""),IF(AND(参与者填写!IH5=比赛赛程!F82,参与者填写!II5=比赛赛程!G82),4,IF(SIGN(参与者填写!IH5-参与者填写!II5)=SIGN(比赛赛程!F82-比赛赛程!G82),1,0)),"")</f>
        <v/>
      </c>
      <c r="CE5" s="9" t="str">
        <f aca="false">IF(AND(参与者填写!IK5&lt;&gt;"",参与者填写!IL5&lt;&gt;""),IF(AND(参与者填写!IK5=比赛赛程!F83,参与者填写!IL5=比赛赛程!G83),4,IF(SIGN(参与者填写!IK5-参与者填写!IL5)=SIGN(比赛赛程!F83-比赛赛程!G83),1,0)),"")</f>
        <v/>
      </c>
      <c r="CF5" s="9" t="str">
        <f aca="false">IF(AND(参与者填写!IN5&lt;&gt;"",参与者填写!IO5&lt;&gt;""),IF(AND(参与者填写!IN5=比赛赛程!F84,参与者填写!IO5=比赛赛程!G84),4,IF(SIGN(参与者填写!IN5-参与者填写!IO5)=SIGN(比赛赛程!F84-比赛赛程!G84),1,0)),"")</f>
        <v/>
      </c>
      <c r="CG5" s="9" t="str">
        <f aca="false">IF(AND(参与者填写!IQ5&lt;&gt;"",参与者填写!IR5&lt;&gt;""),IF(AND(参与者填写!IQ5=比赛赛程!F85,参与者填写!IR5=比赛赛程!G85),4,IF(SIGN(参与者填写!IQ5-参与者填写!IR5)=SIGN(比赛赛程!F85-比赛赛程!G85),1,0)),"")</f>
        <v/>
      </c>
      <c r="CH5" s="9" t="str">
        <f aca="false">IF(AND(参与者填写!IT5&lt;&gt;"",参与者填写!IU5&lt;&gt;""),IF(AND(参与者填写!IT5=比赛赛程!F86,参与者填写!IU5=比赛赛程!G86),4,IF(SIGN(参与者填写!IT5-参与者填写!IU5)=SIGN(比赛赛程!F86-比赛赛程!G86),1,0)),"")</f>
        <v/>
      </c>
      <c r="CI5" s="9" t="str">
        <f aca="false">IF(AND(参与者填写!IW5&lt;&gt;"",参与者填写!IX5&lt;&gt;""),IF(AND(参与者填写!IW5=比赛赛程!F87,参与者填写!IX5=比赛赛程!G87),4,IF(SIGN(参与者填写!IW5-参与者填写!IX5)=SIGN(比赛赛程!F87-比赛赛程!G87),1,0)),"")</f>
        <v/>
      </c>
      <c r="CJ5" s="9" t="str">
        <f aca="false">IF(AND(参与者填写!IZ5&lt;&gt;"",参与者填写!JA5&lt;&gt;""),IF(AND(参与者填写!IZ5=比赛赛程!F88,参与者填写!JA5=比赛赛程!G88),4,IF(SIGN(参与者填写!IZ5-参与者填写!JA5)=SIGN(比赛赛程!F88-比赛赛程!G88),1,0)),"")</f>
        <v/>
      </c>
      <c r="CK5" s="9" t="str">
        <f aca="false">IF(AND(参与者填写!JC5&lt;&gt;"",参与者填写!JD5&lt;&gt;""),IF(AND(参与者填写!JC5=比赛赛程!F89,参与者填写!JD5=比赛赛程!G89),4,IF(SIGN(参与者填写!JC5-参与者填写!JD5)=SIGN(比赛赛程!F89-比赛赛程!G89),1,0)),"")</f>
        <v/>
      </c>
      <c r="CL5" s="9" t="str">
        <f aca="false">IF(AND(参与者填写!JF5&lt;&gt;"",参与者填写!JG5&lt;&gt;""),IF(AND(参与者填写!JF5=比赛赛程!F90,参与者填写!JG5=比赛赛程!G90),4,IF(SIGN(参与者填写!JF5-参与者填写!JG5)=SIGN(比赛赛程!F90-比赛赛程!G90),1,0)),"")</f>
        <v/>
      </c>
      <c r="CM5" s="9" t="str">
        <f aca="false">IF(AND(参与者填写!JI5&lt;&gt;"",参与者填写!JJ5&lt;&gt;""),IF(AND(参与者填写!JI5=比赛赛程!F91,参与者填写!JJ5=比赛赛程!G91),4,IF(SIGN(参与者填写!JI5-参与者填写!JJ5)=SIGN(比赛赛程!F91-比赛赛程!G91),1,0)),"")</f>
        <v/>
      </c>
      <c r="CN5" s="9" t="str">
        <f aca="false">IF(AND(参与者填写!JL5&lt;&gt;"",参与者填写!JM5&lt;&gt;""),IF(AND(参与者填写!JL5=比赛赛程!F92,参与者填写!JM5=比赛赛程!G92),4,IF(SIGN(参与者填写!JL5-参与者填写!JM5)=SIGN(比赛赛程!F92-比赛赛程!G92),1,0)),"")</f>
        <v/>
      </c>
      <c r="CO5" s="9" t="str">
        <f aca="false">IF(AND(参与者填写!JO5&lt;&gt;"",参与者填写!JP5&lt;&gt;""),IF(AND(参与者填写!JO5=比赛赛程!F93,参与者填写!JP5=比赛赛程!G93),4,IF(SIGN(参与者填写!JO5-参与者填写!JP5)=SIGN(比赛赛程!F93-比赛赛程!G93),1,0)),"")</f>
        <v/>
      </c>
      <c r="CP5" s="9" t="str">
        <f aca="false">IF(AND(参与者填写!JR5&lt;&gt;"",参与者填写!JS5&lt;&gt;""),IF(AND(参与者填写!JR5=比赛赛程!F94,参与者填写!JS5=比赛赛程!G94),4,IF(SIGN(参与者填写!JR5-参与者填写!JS5)=SIGN(比赛赛程!F94-比赛赛程!G94),1,0)),"")</f>
        <v/>
      </c>
      <c r="CQ5" s="9" t="str">
        <f aca="false">IF(AND(参与者填写!JU5&lt;&gt;"",参与者填写!JV5&lt;&gt;""),IF(AND(参与者填写!JU5=比赛赛程!F95,参与者填写!JV5=比赛赛程!G95),4,IF(SIGN(参与者填写!JU5-参与者填写!JV5)=SIGN(比赛赛程!F95-比赛赛程!G95),1,0)),"")</f>
        <v/>
      </c>
      <c r="CR5" s="9" t="str">
        <f aca="false">IF(AND(参与者填写!JX5&lt;&gt;"",参与者填写!JY5&lt;&gt;""),IF(AND(参与者填写!JX5=比赛赛程!F96,参与者填写!JY5=比赛赛程!G96),4,IF(SIGN(参与者填写!JX5-参与者填写!JY5)=SIGN(比赛赛程!F96-比赛赛程!G96),1,0)),"")</f>
        <v/>
      </c>
      <c r="CS5" s="9" t="str">
        <f aca="false">IF(AND(参与者填写!KA5&lt;&gt;"",参与者填写!KB5&lt;&gt;""),IF(AND(参与者填写!KA5=比赛赛程!F97,参与者填写!KB5=比赛赛程!G97),4,IF(SIGN(参与者填写!KA5-参与者填写!KB5)=SIGN(比赛赛程!F97-比赛赛程!G97),1,0)),"")</f>
        <v/>
      </c>
      <c r="CT5" s="9" t="str">
        <f aca="false">IF(AND(参与者填写!KD5&lt;&gt;"",参与者填写!KE5&lt;&gt;""),IF(AND(参与者填写!KD5=比赛赛程!F98,参与者填写!KE5=比赛赛程!G98),4,IF(SIGN(参与者填写!KD5-参与者填写!KE5)=SIGN(比赛赛程!F98-比赛赛程!G98),1,0)),"")</f>
        <v/>
      </c>
      <c r="CU5" s="9" t="str">
        <f aca="false">IF(AND(参与者填写!KG5&lt;&gt;"",参与者填写!KH5&lt;&gt;""),IF(AND(参与者填写!KG5=比赛赛程!F99,参与者填写!KH5=比赛赛程!G99),4,IF(SIGN(参与者填写!KG5-参与者填写!KH5)=SIGN(比赛赛程!F99-比赛赛程!G99),1,0)),"")</f>
        <v/>
      </c>
      <c r="CV5" s="9" t="str">
        <f aca="false">IF(AND(参与者填写!KJ5&lt;&gt;"",参与者填写!KK5&lt;&gt;""),IF(AND(参与者填写!KJ5=比赛赛程!F100,参与者填写!KK5=比赛赛程!G100),4,IF(SIGN(参与者填写!KJ5-参与者填写!KK5)=SIGN(比赛赛程!F100-比赛赛程!G100),1,0)),"")</f>
        <v/>
      </c>
      <c r="CW5" s="9" t="str">
        <f aca="false">IF(AND(参与者填写!KM5&lt;&gt;"",参与者填写!KN5&lt;&gt;""),IF(AND(参与者填写!KM5=比赛赛程!F101,参与者填写!KN5=比赛赛程!G101),4,IF(SIGN(参与者填写!KM5-参与者填写!KN5)=SIGN(比赛赛程!F101-比赛赛程!G101),1,0)),"")</f>
        <v/>
      </c>
      <c r="CX5" s="9" t="str">
        <f aca="false">IF(AND(参与者填写!KP5&lt;&gt;"",参与者填写!KQ5&lt;&gt;""),IF(AND(参与者填写!KP5=比赛赛程!F102,参与者填写!KQ5=比赛赛程!G102),4,IF(SIGN(参与者填写!KP5-参与者填写!KQ5)=SIGN(比赛赛程!F102-比赛赛程!G102),1,0)),"")</f>
        <v/>
      </c>
      <c r="CY5" s="9" t="str">
        <f aca="false">IF(AND(参与者填写!KS5&lt;&gt;"",参与者填写!KT5&lt;&gt;""),IF(AND(参与者填写!KS5=比赛赛程!F103,参与者填写!KT5=比赛赛程!G103),4,IF(SIGN(参与者填写!KS5-参与者填写!KT5)=SIGN(比赛赛程!F103-比赛赛程!G103),1,0)),"")</f>
        <v/>
      </c>
      <c r="CZ5" s="9" t="str">
        <f aca="false">IF(AND(参与者填写!KV5&lt;&gt;"",参与者填写!KW5&lt;&gt;""),IF(AND(参与者填写!KV5=比赛赛程!F104,参与者填写!KW5=比赛赛程!G104),4,IF(SIGN(参与者填写!KV5-参与者填写!KW5)=SIGN(比赛赛程!F104-比赛赛程!G104),1,0)),"")</f>
        <v/>
      </c>
      <c r="DA5" s="9" t="str">
        <f aca="false">IF(AND(参与者填写!KY5&lt;&gt;"",参与者填写!KZ5&lt;&gt;""),IF(AND(参与者填写!KY5=比赛赛程!F105,参与者填写!KZ5=比赛赛程!G105),4,IF(SIGN(参与者填写!KY5-参与者填写!KZ5)=SIGN(比赛赛程!F105-比赛赛程!G105),1,0)),"")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6" min="4" style="0" width="15"/>
  </cols>
  <sheetData>
    <row r="1" customFormat="false" ht="30" hidden="false" customHeight="true" outlineLevel="0" collapsed="false">
      <c r="A1" s="5" t="s">
        <v>323</v>
      </c>
      <c r="B1" s="5" t="s">
        <v>174</v>
      </c>
      <c r="C1" s="5" t="s">
        <v>324</v>
      </c>
      <c r="D1" s="5" t="s">
        <v>325</v>
      </c>
      <c r="E1" s="5" t="s">
        <v>326</v>
      </c>
      <c r="F1" s="5" t="s">
        <v>327</v>
      </c>
    </row>
    <row r="2" customFormat="false" ht="19.5" hidden="false" customHeight="true" outlineLevel="0" collapsed="false">
      <c r="A2" s="9" t="n">
        <v>1</v>
      </c>
      <c r="B2" s="9" t="str">
        <f aca="false">积分统计!A2</f>
        <v>张三</v>
      </c>
      <c r="C2" s="9" t="n">
        <f aca="false">SUM(积分统计!B2:CW2)</f>
        <v>4</v>
      </c>
      <c r="D2" s="9" t="n">
        <f aca="false">COUNTIF(积分统计!B2:CW2,4)</f>
        <v>0</v>
      </c>
      <c r="E2" s="9" t="n">
        <f aca="false">COUNTIF(积分统计!B2:CW2,1)</f>
        <v>4</v>
      </c>
      <c r="F2" s="9" t="n">
        <f aca="false">COUNT(积分统计!B2:CW2)</f>
        <v>20</v>
      </c>
    </row>
    <row r="3" customFormat="false" ht="19.5" hidden="false" customHeight="true" outlineLevel="0" collapsed="false">
      <c r="A3" s="9" t="n">
        <v>2</v>
      </c>
      <c r="B3" s="9" t="str">
        <f aca="false">积分统计!A3</f>
        <v>李四</v>
      </c>
      <c r="C3" s="9" t="n">
        <f aca="false">SUM(积分统计!B3:CW3)</f>
        <v>5</v>
      </c>
      <c r="D3" s="9" t="n">
        <f aca="false">COUNTIF(积分统计!B3:CW3,4)</f>
        <v>0</v>
      </c>
      <c r="E3" s="9" t="n">
        <f aca="false">COUNTIF(积分统计!B3:CW3,1)</f>
        <v>5</v>
      </c>
      <c r="F3" s="9" t="n">
        <f aca="false">COUNT(积分统计!B3:CW3)</f>
        <v>20</v>
      </c>
    </row>
    <row r="4" customFormat="false" ht="19.5" hidden="false" customHeight="true" outlineLevel="0" collapsed="false">
      <c r="A4" s="9" t="n">
        <v>3</v>
      </c>
      <c r="B4" s="9" t="str">
        <f aca="false">积分统计!A4</f>
        <v>王五</v>
      </c>
      <c r="C4" s="9" t="n">
        <f aca="false">SUM(积分统计!B4:CW4)</f>
        <v>8</v>
      </c>
      <c r="D4" s="9" t="n">
        <f aca="false">COUNTIF(积分统计!B4:CW4,4)</f>
        <v>1</v>
      </c>
      <c r="E4" s="9" t="n">
        <f aca="false">COUNTIF(积分统计!B4:CW4,1)</f>
        <v>4</v>
      </c>
      <c r="F4" s="9" t="n">
        <f aca="false">COUNT(积分统计!B4:CW4)</f>
        <v>20</v>
      </c>
    </row>
    <row r="5" customFormat="false" ht="19.5" hidden="false" customHeight="true" outlineLevel="0" collapsed="false">
      <c r="A5" s="9" t="n">
        <v>4</v>
      </c>
      <c r="B5" s="9" t="str">
        <f aca="false">积分统计!A5</f>
        <v>赵六</v>
      </c>
      <c r="C5" s="9" t="n">
        <f aca="false">SUM(积分统计!B5:CW5)</f>
        <v>10</v>
      </c>
      <c r="D5" s="9" t="n">
        <f aca="false">COUNTIF(积分统计!B5:CW5,4)</f>
        <v>1</v>
      </c>
      <c r="E5" s="9" t="n">
        <f aca="false">COUNTIF(积分统计!B5:CW5,1)</f>
        <v>6</v>
      </c>
      <c r="F5" s="9" t="n">
        <f aca="false">COUNT(积分统计!B5:CW5)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2026-05-09T06:27:47Z</dcterms:created>
  <dc:creator>openpyxl</dc:creator>
  <dc:description/>
  <dc:language>en-US</dc:language>
  <cp:lastModifiedBy/>
  <dcterms:modified xsi:type="dcterms:W3CDTF">2026-05-09T06:27:47Z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